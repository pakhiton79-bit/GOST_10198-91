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Документы\Сильван\!Верные чертежи для расчета\"/>
    </mc:Choice>
  </mc:AlternateContent>
  <xr:revisionPtr revIDLastSave="0" documentId="13_ncr:1_{0DFA7B3F-D6AB-4E4F-A50D-B063725E433A}" xr6:coauthVersionLast="46" xr6:coauthVersionMax="47" xr10:uidLastSave="{00000000-0000-0000-0000-000000000000}"/>
  <bookViews>
    <workbookView xWindow="408" yWindow="132" windowWidth="15024" windowHeight="16548" xr2:uid="{00000000-000D-0000-FFFF-FFFF00000000}"/>
  </bookViews>
  <sheets>
    <sheet name="Лист 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3" i="2" l="1"/>
  <c r="K30" i="2"/>
  <c r="E14" i="2" l="1"/>
  <c r="D29" i="2" l="1"/>
  <c r="E41" i="2"/>
  <c r="K9" i="2"/>
  <c r="L21" i="2"/>
  <c r="L32" i="2"/>
  <c r="K40" i="2"/>
  <c r="J10" i="2"/>
  <c r="K15" i="2" l="1"/>
  <c r="J15" i="2"/>
  <c r="I15" i="2"/>
  <c r="K14" i="2"/>
  <c r="J14" i="2"/>
  <c r="I14" i="2"/>
  <c r="L9" i="2"/>
  <c r="L14" i="2" l="1"/>
  <c r="L15" i="2"/>
  <c r="L42" i="2"/>
  <c r="L41" i="2"/>
  <c r="K41" i="2"/>
  <c r="C46" i="2" s="1"/>
  <c r="K42" i="2"/>
  <c r="M42" i="2" s="1"/>
  <c r="K32" i="2"/>
  <c r="K31" i="2" s="1"/>
  <c r="K20" i="2"/>
  <c r="K33" i="2" l="1"/>
  <c r="M33" i="2" s="1"/>
  <c r="A34" i="2"/>
  <c r="M41" i="2"/>
  <c r="J3" i="2" l="1"/>
  <c r="L3" i="2" l="1"/>
  <c r="E24" i="2"/>
  <c r="K19" i="2"/>
  <c r="K21" i="2" s="1"/>
  <c r="M21" i="2" s="1"/>
  <c r="A14" i="2" l="1"/>
  <c r="F12" i="2"/>
  <c r="L10" i="2"/>
  <c r="K10" i="2"/>
  <c r="M32" i="2" l="1"/>
  <c r="K3" i="2"/>
  <c r="L12" i="2"/>
  <c r="K12" i="2"/>
  <c r="K11" i="2"/>
  <c r="L20" i="2" l="1"/>
  <c r="E19" i="2"/>
  <c r="M31" i="2"/>
  <c r="M9" i="2" l="1"/>
  <c r="M40" i="2"/>
  <c r="M30" i="2"/>
  <c r="M19" i="2"/>
  <c r="M11" i="2"/>
  <c r="M12" i="2"/>
  <c r="M10" i="2"/>
  <c r="M20" i="2"/>
  <c r="J4" i="2" l="1"/>
  <c r="J5" i="2" s="1"/>
</calcChain>
</file>

<file path=xl/sharedStrings.xml><?xml version="1.0" encoding="utf-8"?>
<sst xmlns="http://schemas.openxmlformats.org/spreadsheetml/2006/main" count="39" uniqueCount="22">
  <si>
    <t>Длина</t>
  </si>
  <si>
    <t>Ширина</t>
  </si>
  <si>
    <t>Высота</t>
  </si>
  <si>
    <t>Размеры наружние, мм.:</t>
  </si>
  <si>
    <t>доски, мм.</t>
  </si>
  <si>
    <t>толщина</t>
  </si>
  <si>
    <t>ширина</t>
  </si>
  <si>
    <t>длина</t>
  </si>
  <si>
    <t>кол-во, шт.</t>
  </si>
  <si>
    <t>ДНО</t>
  </si>
  <si>
    <t>КРЫШКА</t>
  </si>
  <si>
    <t>Размеры внутренние мм.:</t>
  </si>
  <si>
    <t xml:space="preserve"> - 2 шт.</t>
  </si>
  <si>
    <t>ЩИТ ТОРЦЕВОЙ</t>
  </si>
  <si>
    <t>ЩИТ БОКОВОЙ</t>
  </si>
  <si>
    <t>Расход пиломатериала, м3:</t>
  </si>
  <si>
    <t xml:space="preserve">ГОСТ 10198 </t>
  </si>
  <si>
    <t>т. 1. к. 3.</t>
  </si>
  <si>
    <t>укосина</t>
  </si>
  <si>
    <t>норма времени, ч.</t>
  </si>
  <si>
    <t>подполозная</t>
  </si>
  <si>
    <t>пергамин, лента 0,5*20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</si>
</sst>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/>
    </xf>
    <xf numFmtId="0" fontId="4" fillId="3" borderId="0" xfId="0" applyFont="1" applyFill="1"/>
    <xf numFmtId="16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right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9" fillId="0" borderId="0" xfId="0" applyFont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164" fontId="6" fillId="0" borderId="3" xfId="0" applyNumberFormat="1" applyFont="1" applyBorder="1" applyAlignment="1">
      <alignment horizontal="center" vertical="top" wrapText="1"/>
    </xf>
    <xf numFmtId="164" fontId="6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right"/>
    </xf>
    <xf numFmtId="0" fontId="5" fillId="0" borderId="2" xfId="0" applyFont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35719</xdr:colOff>
      <xdr:row>27</xdr:row>
      <xdr:rowOff>65485</xdr:rowOff>
    </xdr:from>
    <xdr:to>
      <xdr:col>3</xdr:col>
      <xdr:colOff>207481</xdr:colOff>
      <xdr:row>32</xdr:row>
      <xdr:rowOff>178594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374F6ADA-EFA0-F4D4-5564-5FBDEFBB3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5476876"/>
          <a:ext cx="1993418" cy="106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166688</xdr:colOff>
      <xdr:row>16</xdr:row>
      <xdr:rowOff>53579</xdr:rowOff>
    </xdr:from>
    <xdr:to>
      <xdr:col>3</xdr:col>
      <xdr:colOff>303609</xdr:colOff>
      <xdr:row>24</xdr:row>
      <xdr:rowOff>1393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9558EF8-7993-10BB-B816-45E2D0515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8" y="3417095"/>
          <a:ext cx="1958577" cy="1462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95249</xdr:colOff>
      <xdr:row>37</xdr:row>
      <xdr:rowOff>67237</xdr:rowOff>
    </xdr:from>
    <xdr:to>
      <xdr:col>3</xdr:col>
      <xdr:colOff>100852</xdr:colOff>
      <xdr:row>44</xdr:row>
      <xdr:rowOff>59477</xdr:rowOff>
    </xdr:to>
    <xdr:pic>
      <xdr:nvPicPr>
        <xdr:cNvPr id="95" name="Рисунок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" y="7401487"/>
          <a:ext cx="1837765" cy="132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139700</xdr:colOff>
      <xdr:row>6</xdr:row>
      <xdr:rowOff>76200</xdr:rowOff>
    </xdr:from>
    <xdr:to>
      <xdr:col>4</xdr:col>
      <xdr:colOff>50647</xdr:colOff>
      <xdr:row>13</xdr:row>
      <xdr:rowOff>7306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1549400"/>
          <a:ext cx="2349347" cy="12646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75375</xdr:colOff>
      <xdr:row>1</xdr:row>
      <xdr:rowOff>30949</xdr:rowOff>
    </xdr:from>
    <xdr:to>
      <xdr:col>3</xdr:col>
      <xdr:colOff>454086</xdr:colOff>
      <xdr:row>5</xdr:row>
      <xdr:rowOff>77028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53873">
          <a:off x="684975" y="297649"/>
          <a:ext cx="1597911" cy="1011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466725</xdr:colOff>
      <xdr:row>8</xdr:row>
      <xdr:rowOff>59267</xdr:rowOff>
    </xdr:from>
    <xdr:to>
      <xdr:col>4</xdr:col>
      <xdr:colOff>283633</xdr:colOff>
      <xdr:row>9</xdr:row>
      <xdr:rowOff>84667</xdr:rowOff>
    </xdr:to>
    <xdr:cxnSp macro="">
      <xdr:nvCxnSpPr>
        <xdr:cNvPr id="100" name="Прямая соединительная линия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CxnSpPr/>
      </xdr:nvCxnSpPr>
      <xdr:spPr>
        <a:xfrm>
          <a:off x="2295525" y="1913467"/>
          <a:ext cx="426508" cy="2159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393700</xdr:colOff>
      <xdr:row>9</xdr:row>
      <xdr:rowOff>69850</xdr:rowOff>
    </xdr:from>
    <xdr:to>
      <xdr:col>4</xdr:col>
      <xdr:colOff>241300</xdr:colOff>
      <xdr:row>13</xdr:row>
      <xdr:rowOff>2</xdr:rowOff>
    </xdr:to>
    <xdr:cxnSp macro="">
      <xdr:nvCxnSpPr>
        <xdr:cNvPr id="102" name="Прямая со стрелкой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/>
      </xdr:nvCxnSpPr>
      <xdr:spPr>
        <a:xfrm flipV="1">
          <a:off x="1612900" y="2114550"/>
          <a:ext cx="1066800" cy="69215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336551</xdr:colOff>
      <xdr:row>11</xdr:row>
      <xdr:rowOff>31750</xdr:rowOff>
    </xdr:from>
    <xdr:to>
      <xdr:col>5</xdr:col>
      <xdr:colOff>16809</xdr:colOff>
      <xdr:row>11</xdr:row>
      <xdr:rowOff>123264</xdr:rowOff>
    </xdr:to>
    <xdr:cxnSp macro="">
      <xdr:nvCxnSpPr>
        <xdr:cNvPr id="104" name="Прямая со стрелко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CxnSpPr/>
      </xdr:nvCxnSpPr>
      <xdr:spPr>
        <a:xfrm flipH="1" flipV="1">
          <a:off x="2168713" y="2457824"/>
          <a:ext cx="778434" cy="915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491066</xdr:colOff>
      <xdr:row>8</xdr:row>
      <xdr:rowOff>107950</xdr:rowOff>
    </xdr:from>
    <xdr:to>
      <xdr:col>4</xdr:col>
      <xdr:colOff>123824</xdr:colOff>
      <xdr:row>9</xdr:row>
      <xdr:rowOff>63500</xdr:rowOff>
    </xdr:to>
    <xdr:cxnSp macro="">
      <xdr:nvCxnSpPr>
        <xdr:cNvPr id="105" name="Прямая соединительная линия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CxnSpPr/>
      </xdr:nvCxnSpPr>
      <xdr:spPr>
        <a:xfrm flipV="1">
          <a:off x="2319866" y="1962150"/>
          <a:ext cx="242358" cy="146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450850</xdr:colOff>
      <xdr:row>8</xdr:row>
      <xdr:rowOff>91017</xdr:rowOff>
    </xdr:from>
    <xdr:to>
      <xdr:col>4</xdr:col>
      <xdr:colOff>82550</xdr:colOff>
      <xdr:row>9</xdr:row>
      <xdr:rowOff>46567</xdr:rowOff>
    </xdr:to>
    <xdr:cxnSp macro="">
      <xdr:nvCxnSpPr>
        <xdr:cNvPr id="108" name="Прямая соединительная линия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CxnSpPr/>
      </xdr:nvCxnSpPr>
      <xdr:spPr>
        <a:xfrm flipV="1">
          <a:off x="2279650" y="1945217"/>
          <a:ext cx="241300" cy="146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</xdr:colOff>
      <xdr:row>6</xdr:row>
      <xdr:rowOff>12700</xdr:rowOff>
    </xdr:from>
    <xdr:to>
      <xdr:col>4</xdr:col>
      <xdr:colOff>234950</xdr:colOff>
      <xdr:row>8</xdr:row>
      <xdr:rowOff>146050</xdr:rowOff>
    </xdr:to>
    <xdr:cxnSp macro="">
      <xdr:nvCxnSpPr>
        <xdr:cNvPr id="109" name="Прямая со стрелкой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CxnSpPr/>
      </xdr:nvCxnSpPr>
      <xdr:spPr>
        <a:xfrm flipH="1">
          <a:off x="2470150" y="1485900"/>
          <a:ext cx="203200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413123</xdr:colOff>
      <xdr:row>15</xdr:row>
      <xdr:rowOff>168088</xdr:rowOff>
    </xdr:from>
    <xdr:to>
      <xdr:col>3</xdr:col>
      <xdr:colOff>134470</xdr:colOff>
      <xdr:row>16</xdr:row>
      <xdr:rowOff>101973</xdr:rowOff>
    </xdr:to>
    <xdr:cxnSp macro="">
      <xdr:nvCxnSpPr>
        <xdr:cNvPr id="112" name="Прямая соединительная линия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CxnSpPr/>
      </xdr:nvCxnSpPr>
      <xdr:spPr>
        <a:xfrm flipV="1">
          <a:off x="1634564" y="3356162"/>
          <a:ext cx="332068" cy="12438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260000</xdr:colOff>
      <xdr:row>20</xdr:row>
      <xdr:rowOff>61259</xdr:rowOff>
    </xdr:from>
    <xdr:to>
      <xdr:col>4</xdr:col>
      <xdr:colOff>12350</xdr:colOff>
      <xdr:row>21</xdr:row>
      <xdr:rowOff>10459</xdr:rowOff>
    </xdr:to>
    <xdr:cxnSp macro="">
      <xdr:nvCxnSpPr>
        <xdr:cNvPr id="115" name="Прямая соединительная линия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CxnSpPr/>
      </xdr:nvCxnSpPr>
      <xdr:spPr>
        <a:xfrm flipV="1">
          <a:off x="2081656" y="4186775"/>
          <a:ext cx="359569" cy="1397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581212</xdr:colOff>
      <xdr:row>16</xdr:row>
      <xdr:rowOff>37353</xdr:rowOff>
    </xdr:from>
    <xdr:to>
      <xdr:col>3</xdr:col>
      <xdr:colOff>440531</xdr:colOff>
      <xdr:row>20</xdr:row>
      <xdr:rowOff>125015</xdr:rowOff>
    </xdr:to>
    <xdr:cxnSp macro="">
      <xdr:nvCxnSpPr>
        <xdr:cNvPr id="117" name="Прямая со стрелкой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CxnSpPr/>
      </xdr:nvCxnSpPr>
      <xdr:spPr>
        <a:xfrm>
          <a:off x="1795650" y="3400869"/>
          <a:ext cx="466537" cy="84966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155762</xdr:colOff>
      <xdr:row>17</xdr:row>
      <xdr:rowOff>180041</xdr:rowOff>
    </xdr:from>
    <xdr:to>
      <xdr:col>3</xdr:col>
      <xdr:colOff>599514</xdr:colOff>
      <xdr:row>18</xdr:row>
      <xdr:rowOff>72838</xdr:rowOff>
    </xdr:to>
    <xdr:cxnSp macro="">
      <xdr:nvCxnSpPr>
        <xdr:cNvPr id="119" name="Прямая со стрелко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CxnSpPr/>
      </xdr:nvCxnSpPr>
      <xdr:spPr>
        <a:xfrm flipH="1" flipV="1">
          <a:off x="1987924" y="3749115"/>
          <a:ext cx="443752" cy="8329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</xdr:colOff>
      <xdr:row>22</xdr:row>
      <xdr:rowOff>72838</xdr:rowOff>
    </xdr:from>
    <xdr:to>
      <xdr:col>3</xdr:col>
      <xdr:colOff>465044</xdr:colOff>
      <xdr:row>24</xdr:row>
      <xdr:rowOff>166687</xdr:rowOff>
    </xdr:to>
    <xdr:cxnSp macro="">
      <xdr:nvCxnSpPr>
        <xdr:cNvPr id="125" name="Прямая со стрелко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CxnSpPr/>
      </xdr:nvCxnSpPr>
      <xdr:spPr>
        <a:xfrm flipV="1">
          <a:off x="750094" y="4579354"/>
          <a:ext cx="1536606" cy="47484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358588</xdr:colOff>
      <xdr:row>23</xdr:row>
      <xdr:rowOff>114300</xdr:rowOff>
    </xdr:from>
    <xdr:to>
      <xdr:col>3</xdr:col>
      <xdr:colOff>584201</xdr:colOff>
      <xdr:row>23</xdr:row>
      <xdr:rowOff>151279</xdr:rowOff>
    </xdr:to>
    <xdr:cxnSp macro="">
      <xdr:nvCxnSpPr>
        <xdr:cNvPr id="127" name="Прямая со стрелкой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CxnSpPr/>
      </xdr:nvCxnSpPr>
      <xdr:spPr>
        <a:xfrm flipH="1">
          <a:off x="1580029" y="4826374"/>
          <a:ext cx="836334" cy="369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309563</xdr:colOff>
      <xdr:row>27</xdr:row>
      <xdr:rowOff>130968</xdr:rowOff>
    </xdr:from>
    <xdr:to>
      <xdr:col>3</xdr:col>
      <xdr:colOff>309563</xdr:colOff>
      <xdr:row>32</xdr:row>
      <xdr:rowOff>125015</xdr:rowOff>
    </xdr:to>
    <xdr:cxnSp macro="">
      <xdr:nvCxnSpPr>
        <xdr:cNvPr id="149" name="Прямая со стрелкой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CxnSpPr/>
      </xdr:nvCxnSpPr>
      <xdr:spPr>
        <a:xfrm>
          <a:off x="2131219" y="5542359"/>
          <a:ext cx="0" cy="94654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67237</xdr:colOff>
      <xdr:row>33</xdr:row>
      <xdr:rowOff>35718</xdr:rowOff>
    </xdr:from>
    <xdr:to>
      <xdr:col>3</xdr:col>
      <xdr:colOff>154781</xdr:colOff>
      <xdr:row>33</xdr:row>
      <xdr:rowOff>35720</xdr:rowOff>
    </xdr:to>
    <xdr:cxnSp macro="">
      <xdr:nvCxnSpPr>
        <xdr:cNvPr id="155" name="Прямая со стрелкой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CxnSpPr/>
      </xdr:nvCxnSpPr>
      <xdr:spPr>
        <a:xfrm flipV="1">
          <a:off x="67237" y="6590109"/>
          <a:ext cx="1909200" cy="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188773</xdr:colOff>
      <xdr:row>37</xdr:row>
      <xdr:rowOff>89648</xdr:rowOff>
    </xdr:from>
    <xdr:to>
      <xdr:col>3</xdr:col>
      <xdr:colOff>319367</xdr:colOff>
      <xdr:row>37</xdr:row>
      <xdr:rowOff>93852</xdr:rowOff>
    </xdr:to>
    <xdr:cxnSp macro="">
      <xdr:nvCxnSpPr>
        <xdr:cNvPr id="175" name="Прямая соединительная линия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CxnSpPr/>
      </xdr:nvCxnSpPr>
      <xdr:spPr>
        <a:xfrm flipV="1">
          <a:off x="1410214" y="7423898"/>
          <a:ext cx="741315" cy="4204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38</xdr:row>
      <xdr:rowOff>41671</xdr:rowOff>
    </xdr:from>
    <xdr:to>
      <xdr:col>3</xdr:col>
      <xdr:colOff>313764</xdr:colOff>
      <xdr:row>43</xdr:row>
      <xdr:rowOff>61632</xdr:rowOff>
    </xdr:to>
    <xdr:cxnSp macro="">
      <xdr:nvCxnSpPr>
        <xdr:cNvPr id="177" name="Прямая со стрелкой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CxnSpPr/>
      </xdr:nvCxnSpPr>
      <xdr:spPr>
        <a:xfrm>
          <a:off x="1952625" y="7548562"/>
          <a:ext cx="182795" cy="97246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193305</xdr:colOff>
      <xdr:row>37</xdr:row>
      <xdr:rowOff>167998</xdr:rowOff>
    </xdr:from>
    <xdr:to>
      <xdr:col>3</xdr:col>
      <xdr:colOff>605117</xdr:colOff>
      <xdr:row>38</xdr:row>
      <xdr:rowOff>95250</xdr:rowOff>
    </xdr:to>
    <xdr:cxnSp macro="">
      <xdr:nvCxnSpPr>
        <xdr:cNvPr id="180" name="Прямая со стрелкой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CxnSpPr/>
      </xdr:nvCxnSpPr>
      <xdr:spPr>
        <a:xfrm flipH="1" flipV="1">
          <a:off x="2025467" y="7502248"/>
          <a:ext cx="411812" cy="1177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37869</xdr:colOff>
      <xdr:row>42</xdr:row>
      <xdr:rowOff>148151</xdr:rowOff>
    </xdr:from>
    <xdr:to>
      <xdr:col>3</xdr:col>
      <xdr:colOff>106456</xdr:colOff>
      <xdr:row>44</xdr:row>
      <xdr:rowOff>168088</xdr:rowOff>
    </xdr:to>
    <xdr:cxnSp macro="">
      <xdr:nvCxnSpPr>
        <xdr:cNvPr id="181" name="Прямая соединительная линия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CxnSpPr/>
      </xdr:nvCxnSpPr>
      <xdr:spPr>
        <a:xfrm>
          <a:off x="1870031" y="8434901"/>
          <a:ext cx="68587" cy="400937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37</xdr:row>
      <xdr:rowOff>39221</xdr:rowOff>
    </xdr:from>
    <xdr:to>
      <xdr:col>2</xdr:col>
      <xdr:colOff>239433</xdr:colOff>
      <xdr:row>38</xdr:row>
      <xdr:rowOff>59765</xdr:rowOff>
    </xdr:to>
    <xdr:cxnSp macro="">
      <xdr:nvCxnSpPr>
        <xdr:cNvPr id="182" name="Прямая соединительная линия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CxnSpPr/>
      </xdr:nvCxnSpPr>
      <xdr:spPr>
        <a:xfrm>
          <a:off x="1411941" y="7373471"/>
          <a:ext cx="48933" cy="211044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330574</xdr:colOff>
      <xdr:row>44</xdr:row>
      <xdr:rowOff>140074</xdr:rowOff>
    </xdr:from>
    <xdr:to>
      <xdr:col>3</xdr:col>
      <xdr:colOff>100853</xdr:colOff>
      <xdr:row>44</xdr:row>
      <xdr:rowOff>140074</xdr:rowOff>
    </xdr:to>
    <xdr:cxnSp macro="">
      <xdr:nvCxnSpPr>
        <xdr:cNvPr id="183" name="Прямая со стрелкой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CxnSpPr/>
      </xdr:nvCxnSpPr>
      <xdr:spPr>
        <a:xfrm>
          <a:off x="330574" y="8807824"/>
          <a:ext cx="160244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265953</xdr:colOff>
      <xdr:row>40</xdr:row>
      <xdr:rowOff>99732</xdr:rowOff>
    </xdr:from>
    <xdr:to>
      <xdr:col>3</xdr:col>
      <xdr:colOff>605118</xdr:colOff>
      <xdr:row>40</xdr:row>
      <xdr:rowOff>106456</xdr:rowOff>
    </xdr:to>
    <xdr:cxnSp macro="">
      <xdr:nvCxnSpPr>
        <xdr:cNvPr id="185" name="Прямая со стрелкой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CxnSpPr/>
      </xdr:nvCxnSpPr>
      <xdr:spPr>
        <a:xfrm flipH="1" flipV="1">
          <a:off x="2098115" y="8005482"/>
          <a:ext cx="339165" cy="67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494770</xdr:colOff>
      <xdr:row>11</xdr:row>
      <xdr:rowOff>133085</xdr:rowOff>
    </xdr:from>
    <xdr:to>
      <xdr:col>2</xdr:col>
      <xdr:colOff>444500</xdr:colOff>
      <xdr:row>13</xdr:row>
      <xdr:rowOff>50800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>
          <a:off x="1104370" y="2558785"/>
          <a:ext cx="559330" cy="29871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496358</xdr:colOff>
      <xdr:row>11</xdr:row>
      <xdr:rowOff>133086</xdr:rowOff>
    </xdr:from>
    <xdr:to>
      <xdr:col>2</xdr:col>
      <xdr:colOff>289719</xdr:colOff>
      <xdr:row>12</xdr:row>
      <xdr:rowOff>162719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>
          <a:off x="1107546" y="2065867"/>
          <a:ext cx="404548" cy="22013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595312</xdr:colOff>
      <xdr:row>12</xdr:row>
      <xdr:rowOff>35719</xdr:rowOff>
    </xdr:from>
    <xdr:to>
      <xdr:col>2</xdr:col>
      <xdr:colOff>374650</xdr:colOff>
      <xdr:row>13</xdr:row>
      <xdr:rowOff>76200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>
          <a:off x="1204912" y="2651919"/>
          <a:ext cx="388938" cy="2309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292100</xdr:colOff>
      <xdr:row>12</xdr:row>
      <xdr:rowOff>184150</xdr:rowOff>
    </xdr:from>
    <xdr:to>
      <xdr:col>3</xdr:col>
      <xdr:colOff>571500</xdr:colOff>
      <xdr:row>13</xdr:row>
      <xdr:rowOff>69850</xdr:rowOff>
    </xdr:to>
    <xdr:cxnSp macro="">
      <xdr:nvCxnSpPr>
        <xdr:cNvPr id="62" name="Прямая со стрелко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 flipH="1" flipV="1">
          <a:off x="1511300" y="2800350"/>
          <a:ext cx="889000" cy="76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93733</xdr:colOff>
      <xdr:row>15</xdr:row>
      <xdr:rowOff>34342</xdr:rowOff>
    </xdr:from>
    <xdr:to>
      <xdr:col>3</xdr:col>
      <xdr:colOff>73889</xdr:colOff>
      <xdr:row>16</xdr:row>
      <xdr:rowOff>67680</xdr:rowOff>
    </xdr:to>
    <xdr:cxnSp macro="">
      <xdr:nvCxnSpPr>
        <xdr:cNvPr id="84" name="Прямая соединительная линия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1308171" y="3207358"/>
          <a:ext cx="587374" cy="22383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504265</xdr:colOff>
      <xdr:row>15</xdr:row>
      <xdr:rowOff>86659</xdr:rowOff>
    </xdr:from>
    <xdr:to>
      <xdr:col>3</xdr:col>
      <xdr:colOff>581585</xdr:colOff>
      <xdr:row>15</xdr:row>
      <xdr:rowOff>156882</xdr:rowOff>
    </xdr:to>
    <xdr:cxnSp macro="">
      <xdr:nvCxnSpPr>
        <xdr:cNvPr id="86" name="Прямая со стрелко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1725706" y="3274733"/>
          <a:ext cx="688041" cy="702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166688</xdr:colOff>
      <xdr:row>32</xdr:row>
      <xdr:rowOff>35719</xdr:rowOff>
    </xdr:from>
    <xdr:to>
      <xdr:col>3</xdr:col>
      <xdr:colOff>169489</xdr:colOff>
      <xdr:row>33</xdr:row>
      <xdr:rowOff>184547</xdr:rowOff>
    </xdr:to>
    <xdr:cxnSp macro="">
      <xdr:nvCxnSpPr>
        <xdr:cNvPr id="106" name="Прямая соединительная линия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CxnSpPr/>
      </xdr:nvCxnSpPr>
      <xdr:spPr>
        <a:xfrm>
          <a:off x="1988344" y="6399610"/>
          <a:ext cx="2801" cy="339328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381748</xdr:colOff>
      <xdr:row>36</xdr:row>
      <xdr:rowOff>117662</xdr:rowOff>
    </xdr:from>
    <xdr:to>
      <xdr:col>4</xdr:col>
      <xdr:colOff>16809</xdr:colOff>
      <xdr:row>37</xdr:row>
      <xdr:rowOff>63500</xdr:rowOff>
    </xdr:to>
    <xdr:cxnSp macro="">
      <xdr:nvCxnSpPr>
        <xdr:cNvPr id="128" name="Прямая со стрелкой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CxnSpPr/>
      </xdr:nvCxnSpPr>
      <xdr:spPr>
        <a:xfrm flipH="1">
          <a:off x="1603189" y="7261412"/>
          <a:ext cx="856502" cy="1363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432174</xdr:colOff>
      <xdr:row>44</xdr:row>
      <xdr:rowOff>155013</xdr:rowOff>
    </xdr:from>
    <xdr:to>
      <xdr:col>2</xdr:col>
      <xdr:colOff>100853</xdr:colOff>
      <xdr:row>45</xdr:row>
      <xdr:rowOff>72838</xdr:rowOff>
    </xdr:to>
    <xdr:cxnSp macro="">
      <xdr:nvCxnSpPr>
        <xdr:cNvPr id="73" name="Прямая со стрелкой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/>
      </xdr:nvCxnSpPr>
      <xdr:spPr>
        <a:xfrm flipH="1" flipV="1">
          <a:off x="1042895" y="8822763"/>
          <a:ext cx="279399" cy="1083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286808</xdr:colOff>
      <xdr:row>10</xdr:row>
      <xdr:rowOff>6350</xdr:rowOff>
    </xdr:from>
    <xdr:to>
      <xdr:col>1</xdr:col>
      <xdr:colOff>38100</xdr:colOff>
      <xdr:row>11</xdr:row>
      <xdr:rowOff>63500</xdr:rowOff>
    </xdr:to>
    <xdr:cxnSp macro="">
      <xdr:nvCxnSpPr>
        <xdr:cNvPr id="87" name="Прямая соединительная линия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/>
      </xdr:nvCxnSpPr>
      <xdr:spPr>
        <a:xfrm flipH="1">
          <a:off x="286808" y="2241550"/>
          <a:ext cx="360892" cy="2476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394758</xdr:colOff>
      <xdr:row>12</xdr:row>
      <xdr:rowOff>120650</xdr:rowOff>
    </xdr:from>
    <xdr:to>
      <xdr:col>2</xdr:col>
      <xdr:colOff>146050</xdr:colOff>
      <xdr:row>13</xdr:row>
      <xdr:rowOff>177800</xdr:rowOff>
    </xdr:to>
    <xdr:cxnSp macro="">
      <xdr:nvCxnSpPr>
        <xdr:cNvPr id="88" name="Прямая соединительная линия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/>
      </xdr:nvCxnSpPr>
      <xdr:spPr>
        <a:xfrm flipH="1">
          <a:off x="1004358" y="2736850"/>
          <a:ext cx="360892" cy="2476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361950</xdr:colOff>
      <xdr:row>11</xdr:row>
      <xdr:rowOff>12700</xdr:rowOff>
    </xdr:from>
    <xdr:to>
      <xdr:col>1</xdr:col>
      <xdr:colOff>482600</xdr:colOff>
      <xdr:row>13</xdr:row>
      <xdr:rowOff>95250</xdr:rowOff>
    </xdr:to>
    <xdr:cxnSp macro="">
      <xdr:nvCxnSpPr>
        <xdr:cNvPr id="89" name="Прямая со стрелко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/>
      </xdr:nvCxnSpPr>
      <xdr:spPr>
        <a:xfrm>
          <a:off x="361950" y="2438400"/>
          <a:ext cx="730250" cy="463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400050</xdr:colOff>
      <xdr:row>11</xdr:row>
      <xdr:rowOff>152400</xdr:rowOff>
    </xdr:from>
    <xdr:to>
      <xdr:col>0</xdr:col>
      <xdr:colOff>603250</xdr:colOff>
      <xdr:row>12</xdr:row>
      <xdr:rowOff>165100</xdr:rowOff>
    </xdr:to>
    <xdr:cxnSp macro="">
      <xdr:nvCxnSpPr>
        <xdr:cNvPr id="92" name="Прямая со стрелко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CxnSpPr/>
      </xdr:nvCxnSpPr>
      <xdr:spPr>
        <a:xfrm flipV="1">
          <a:off x="400050" y="2578100"/>
          <a:ext cx="20320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599888</xdr:colOff>
      <xdr:row>23</xdr:row>
      <xdr:rowOff>84114</xdr:rowOff>
    </xdr:from>
    <xdr:to>
      <xdr:col>1</xdr:col>
      <xdr:colOff>134470</xdr:colOff>
      <xdr:row>24</xdr:row>
      <xdr:rowOff>183846</xdr:rowOff>
    </xdr:to>
    <xdr:cxnSp macro="">
      <xdr:nvCxnSpPr>
        <xdr:cNvPr id="97" name="Прямая соединительная линия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CxnSpPr/>
      </xdr:nvCxnSpPr>
      <xdr:spPr>
        <a:xfrm>
          <a:off x="599888" y="4781130"/>
          <a:ext cx="141801" cy="29023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266116</xdr:colOff>
      <xdr:row>20</xdr:row>
      <xdr:rowOff>175559</xdr:rowOff>
    </xdr:from>
    <xdr:to>
      <xdr:col>3</xdr:col>
      <xdr:colOff>440181</xdr:colOff>
      <xdr:row>22</xdr:row>
      <xdr:rowOff>117661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/>
      </xdr:nvCxnSpPr>
      <xdr:spPr>
        <a:xfrm>
          <a:off x="2087772" y="4301075"/>
          <a:ext cx="174065" cy="32310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113879</xdr:colOff>
      <xdr:row>27</xdr:row>
      <xdr:rowOff>99102</xdr:rowOff>
    </xdr:from>
    <xdr:to>
      <xdr:col>3</xdr:col>
      <xdr:colOff>452438</xdr:colOff>
      <xdr:row>27</xdr:row>
      <xdr:rowOff>107156</xdr:rowOff>
    </xdr:to>
    <xdr:cxnSp macro="">
      <xdr:nvCxnSpPr>
        <xdr:cNvPr id="101" name="Прямая соединительная линия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CxnSpPr/>
      </xdr:nvCxnSpPr>
      <xdr:spPr>
        <a:xfrm>
          <a:off x="1935535" y="5510493"/>
          <a:ext cx="338559" cy="8054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139467</xdr:colOff>
      <xdr:row>38</xdr:row>
      <xdr:rowOff>44546</xdr:rowOff>
    </xdr:from>
    <xdr:to>
      <xdr:col>3</xdr:col>
      <xdr:colOff>313764</xdr:colOff>
      <xdr:row>38</xdr:row>
      <xdr:rowOff>44824</xdr:rowOff>
    </xdr:to>
    <xdr:cxnSp macro="">
      <xdr:nvCxnSpPr>
        <xdr:cNvPr id="116" name="Прямая соединительная линия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CxnSpPr/>
      </xdr:nvCxnSpPr>
      <xdr:spPr>
        <a:xfrm>
          <a:off x="1360908" y="7569296"/>
          <a:ext cx="785018" cy="278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437030</xdr:colOff>
      <xdr:row>37</xdr:row>
      <xdr:rowOff>16809</xdr:rowOff>
    </xdr:from>
    <xdr:to>
      <xdr:col>2</xdr:col>
      <xdr:colOff>498662</xdr:colOff>
      <xdr:row>38</xdr:row>
      <xdr:rowOff>89647</xdr:rowOff>
    </xdr:to>
    <xdr:cxnSp macro="">
      <xdr:nvCxnSpPr>
        <xdr:cNvPr id="120" name="Прямая соединительная линия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CxnSpPr/>
      </xdr:nvCxnSpPr>
      <xdr:spPr>
        <a:xfrm>
          <a:off x="1658471" y="7351059"/>
          <a:ext cx="61632" cy="263338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258250</xdr:colOff>
      <xdr:row>43</xdr:row>
      <xdr:rowOff>73681</xdr:rowOff>
    </xdr:from>
    <xdr:to>
      <xdr:col>3</xdr:col>
      <xdr:colOff>432547</xdr:colOff>
      <xdr:row>43</xdr:row>
      <xdr:rowOff>73959</xdr:rowOff>
    </xdr:to>
    <xdr:cxnSp macro="">
      <xdr:nvCxnSpPr>
        <xdr:cNvPr id="130" name="Прямая соединительная линия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CxnSpPr/>
      </xdr:nvCxnSpPr>
      <xdr:spPr>
        <a:xfrm>
          <a:off x="1479691" y="8550931"/>
          <a:ext cx="785018" cy="278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281783</xdr:colOff>
      <xdr:row>44</xdr:row>
      <xdr:rowOff>0</xdr:rowOff>
    </xdr:from>
    <xdr:to>
      <xdr:col>3</xdr:col>
      <xdr:colOff>425823</xdr:colOff>
      <xdr:row>44</xdr:row>
      <xdr:rowOff>7568</xdr:rowOff>
    </xdr:to>
    <xdr:cxnSp macro="">
      <xdr:nvCxnSpPr>
        <xdr:cNvPr id="132" name="Прямая соединительная линия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CxnSpPr/>
      </xdr:nvCxnSpPr>
      <xdr:spPr>
        <a:xfrm flipV="1">
          <a:off x="1503224" y="8667750"/>
          <a:ext cx="754761" cy="7568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233646</xdr:colOff>
      <xdr:row>43</xdr:row>
      <xdr:rowOff>134471</xdr:rowOff>
    </xdr:from>
    <xdr:to>
      <xdr:col>3</xdr:col>
      <xdr:colOff>593912</xdr:colOff>
      <xdr:row>43</xdr:row>
      <xdr:rowOff>146706</xdr:rowOff>
    </xdr:to>
    <xdr:cxnSp macro="">
      <xdr:nvCxnSpPr>
        <xdr:cNvPr id="134" name="Прямая со стрелкой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CxnSpPr/>
      </xdr:nvCxnSpPr>
      <xdr:spPr>
        <a:xfrm flipH="1">
          <a:off x="2065808" y="8611721"/>
          <a:ext cx="360266" cy="122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285518</xdr:colOff>
      <xdr:row>42</xdr:row>
      <xdr:rowOff>138067</xdr:rowOff>
    </xdr:from>
    <xdr:to>
      <xdr:col>0</xdr:col>
      <xdr:colOff>341779</xdr:colOff>
      <xdr:row>45</xdr:row>
      <xdr:rowOff>0</xdr:rowOff>
    </xdr:to>
    <xdr:cxnSp macro="">
      <xdr:nvCxnSpPr>
        <xdr:cNvPr id="137" name="Прямая соединительная линия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CxnSpPr/>
      </xdr:nvCxnSpPr>
      <xdr:spPr>
        <a:xfrm>
          <a:off x="285518" y="8424817"/>
          <a:ext cx="56261" cy="433433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20311</xdr:colOff>
      <xdr:row>19</xdr:row>
      <xdr:rowOff>71087</xdr:rowOff>
    </xdr:from>
    <xdr:to>
      <xdr:col>4</xdr:col>
      <xdr:colOff>464344</xdr:colOff>
      <xdr:row>21</xdr:row>
      <xdr:rowOff>77390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E07DF6B3-9717-4110-82A0-33520A2E3541}"/>
            </a:ext>
          </a:extLst>
        </xdr:cNvPr>
        <xdr:cNvCxnSpPr/>
      </xdr:nvCxnSpPr>
      <xdr:spPr>
        <a:xfrm flipH="1" flipV="1">
          <a:off x="1841967" y="4006103"/>
          <a:ext cx="1051252" cy="38730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467915</xdr:colOff>
      <xdr:row>19</xdr:row>
      <xdr:rowOff>11906</xdr:rowOff>
    </xdr:from>
    <xdr:to>
      <xdr:col>3</xdr:col>
      <xdr:colOff>71438</xdr:colOff>
      <xdr:row>19</xdr:row>
      <xdr:rowOff>80962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5C40349F-5BEB-4724-BE7A-8C37A4EBEB22}"/>
            </a:ext>
          </a:extLst>
        </xdr:cNvPr>
        <xdr:cNvCxnSpPr/>
      </xdr:nvCxnSpPr>
      <xdr:spPr>
        <a:xfrm flipV="1">
          <a:off x="1682353" y="3946922"/>
          <a:ext cx="210741" cy="6905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102394</xdr:colOff>
      <xdr:row>21</xdr:row>
      <xdr:rowOff>51197</xdr:rowOff>
    </xdr:from>
    <xdr:to>
      <xdr:col>3</xdr:col>
      <xdr:colOff>313135</xdr:colOff>
      <xdr:row>21</xdr:row>
      <xdr:rowOff>120253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DF48D735-72CA-4D9E-96EB-D281199B3D35}"/>
            </a:ext>
          </a:extLst>
        </xdr:cNvPr>
        <xdr:cNvCxnSpPr/>
      </xdr:nvCxnSpPr>
      <xdr:spPr>
        <a:xfrm flipV="1">
          <a:off x="1924050" y="4367213"/>
          <a:ext cx="210741" cy="6905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220266</xdr:colOff>
      <xdr:row>21</xdr:row>
      <xdr:rowOff>125015</xdr:rowOff>
    </xdr:from>
    <xdr:to>
      <xdr:col>4</xdr:col>
      <xdr:colOff>470297</xdr:colOff>
      <xdr:row>23</xdr:row>
      <xdr:rowOff>23812</xdr:rowOff>
    </xdr:to>
    <xdr:cxnSp macro="">
      <xdr:nvCxnSpPr>
        <xdr:cNvPr id="13" name="Прямая со стрелкой 12">
          <a:extLst>
            <a:ext uri="{FF2B5EF4-FFF2-40B4-BE49-F238E27FC236}">
              <a16:creationId xmlns:a16="http://schemas.microsoft.com/office/drawing/2014/main" id="{A5957AB3-02B7-478D-A5EC-F30F853D4328}"/>
            </a:ext>
          </a:extLst>
        </xdr:cNvPr>
        <xdr:cNvCxnSpPr/>
      </xdr:nvCxnSpPr>
      <xdr:spPr>
        <a:xfrm flipH="1" flipV="1">
          <a:off x="2041922" y="4441031"/>
          <a:ext cx="857250" cy="27979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182236</xdr:colOff>
      <xdr:row>16</xdr:row>
      <xdr:rowOff>101203</xdr:rowOff>
    </xdr:from>
    <xdr:to>
      <xdr:col>5</xdr:col>
      <xdr:colOff>5953</xdr:colOff>
      <xdr:row>17</xdr:row>
      <xdr:rowOff>18699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89DBA4E6-74FB-4F97-9EB2-A1A9F3521289}"/>
            </a:ext>
          </a:extLst>
        </xdr:cNvPr>
        <xdr:cNvCxnSpPr/>
      </xdr:nvCxnSpPr>
      <xdr:spPr>
        <a:xfrm flipH="1">
          <a:off x="1396674" y="3464719"/>
          <a:ext cx="1526310" cy="10799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87686</xdr:colOff>
      <xdr:row>32</xdr:row>
      <xdr:rowOff>126486</xdr:rowOff>
    </xdr:from>
    <xdr:to>
      <xdr:col>3</xdr:col>
      <xdr:colOff>426245</xdr:colOff>
      <xdr:row>32</xdr:row>
      <xdr:rowOff>134540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FEBE3D26-5C79-4EC0-B1C8-81714EE8D74F}"/>
            </a:ext>
          </a:extLst>
        </xdr:cNvPr>
        <xdr:cNvCxnSpPr/>
      </xdr:nvCxnSpPr>
      <xdr:spPr>
        <a:xfrm>
          <a:off x="1909342" y="6490377"/>
          <a:ext cx="338559" cy="8054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</xdr:colOff>
      <xdr:row>32</xdr:row>
      <xdr:rowOff>45244</xdr:rowOff>
    </xdr:from>
    <xdr:to>
      <xdr:col>0</xdr:col>
      <xdr:colOff>59951</xdr:colOff>
      <xdr:row>34</xdr:row>
      <xdr:rowOff>3572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E9919469-1192-4D34-A9D3-CFBBBF47CC9E}"/>
            </a:ext>
          </a:extLst>
        </xdr:cNvPr>
        <xdr:cNvCxnSpPr/>
      </xdr:nvCxnSpPr>
      <xdr:spPr>
        <a:xfrm>
          <a:off x="57150" y="6409135"/>
          <a:ext cx="2801" cy="339328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zoomScale="130" zoomScaleNormal="130" workbookViewId="0">
      <selection activeCell="J24" sqref="J24"/>
    </sheetView>
  </sheetViews>
  <sheetFormatPr defaultRowHeight="14.4" x14ac:dyDescent="0.3"/>
  <cols>
    <col min="5" max="6" width="7.33203125" customWidth="1"/>
    <col min="7" max="7" width="8" customWidth="1"/>
    <col min="8" max="8" width="1.6640625" customWidth="1"/>
    <col min="9" max="12" width="9.33203125" style="1" customWidth="1"/>
    <col min="13" max="13" width="0.5546875" style="15" customWidth="1"/>
    <col min="14" max="14" width="11.44140625" customWidth="1"/>
  </cols>
  <sheetData>
    <row r="1" spans="1:13" ht="21" x14ac:dyDescent="0.4">
      <c r="A1" s="34" t="s">
        <v>16</v>
      </c>
      <c r="B1" s="34"/>
      <c r="C1" s="17" t="s">
        <v>17</v>
      </c>
      <c r="D1" s="17"/>
      <c r="H1" s="2"/>
      <c r="J1" s="8" t="s">
        <v>0</v>
      </c>
      <c r="K1" s="8" t="s">
        <v>1</v>
      </c>
      <c r="L1" s="8" t="s">
        <v>2</v>
      </c>
    </row>
    <row r="2" spans="1:13" ht="18" x14ac:dyDescent="0.35">
      <c r="E2" s="6"/>
      <c r="F2" s="6"/>
      <c r="H2" s="6"/>
      <c r="I2" s="21" t="s">
        <v>11</v>
      </c>
      <c r="J2" s="7">
        <v>1300</v>
      </c>
      <c r="K2" s="7">
        <v>1000</v>
      </c>
      <c r="L2" s="7">
        <v>1000</v>
      </c>
    </row>
    <row r="3" spans="1:13" ht="18" x14ac:dyDescent="0.35">
      <c r="E3" s="6"/>
      <c r="F3" s="6"/>
      <c r="H3" s="6"/>
      <c r="I3" s="21" t="s">
        <v>3</v>
      </c>
      <c r="J3" s="14">
        <f>J2+150</f>
        <v>1450</v>
      </c>
      <c r="K3" s="14">
        <f>K2+100</f>
        <v>1100</v>
      </c>
      <c r="L3" s="14">
        <f>L2+I9+I10+I12+I19+I20</f>
        <v>1265</v>
      </c>
    </row>
    <row r="4" spans="1:13" ht="18.75" customHeight="1" x14ac:dyDescent="0.35">
      <c r="B4" s="1"/>
      <c r="E4" s="6"/>
      <c r="F4" s="6"/>
      <c r="G4" s="6"/>
      <c r="H4" s="9"/>
      <c r="I4" s="21" t="s">
        <v>15</v>
      </c>
      <c r="J4" s="16">
        <f>SUM(M8:M43)+SUM(M28:M42)</f>
        <v>0.37571172416446746</v>
      </c>
      <c r="K4" s="36" t="s">
        <v>21</v>
      </c>
      <c r="L4" s="36"/>
    </row>
    <row r="5" spans="1:13" ht="18.75" customHeight="1" x14ac:dyDescent="0.35">
      <c r="B5" s="1"/>
      <c r="E5" s="6"/>
      <c r="F5" s="6"/>
      <c r="G5" s="6"/>
      <c r="H5" s="9"/>
      <c r="I5" s="21" t="s">
        <v>19</v>
      </c>
      <c r="J5" s="24">
        <f>ROUNDUP(J4*800/60*1.2,1)</f>
        <v>6.1</v>
      </c>
      <c r="K5" s="37"/>
      <c r="L5" s="37"/>
    </row>
    <row r="6" spans="1:13" ht="18" x14ac:dyDescent="0.35">
      <c r="A6" s="13" t="s">
        <v>9</v>
      </c>
      <c r="B6" s="1"/>
      <c r="E6" s="19">
        <v>25</v>
      </c>
      <c r="F6" s="6"/>
      <c r="G6" s="6"/>
      <c r="H6" s="9"/>
      <c r="I6" s="9"/>
      <c r="J6" s="18"/>
      <c r="K6" s="10"/>
    </row>
    <row r="7" spans="1:13" x14ac:dyDescent="0.3">
      <c r="B7" s="12"/>
      <c r="I7" s="33" t="s">
        <v>4</v>
      </c>
      <c r="J7" s="33"/>
      <c r="K7" s="33"/>
      <c r="L7" s="5"/>
    </row>
    <row r="8" spans="1:13" x14ac:dyDescent="0.3">
      <c r="I8" s="4" t="s">
        <v>5</v>
      </c>
      <c r="J8" s="4" t="s">
        <v>6</v>
      </c>
      <c r="K8" s="4" t="s">
        <v>7</v>
      </c>
      <c r="L8" s="4" t="s">
        <v>8</v>
      </c>
    </row>
    <row r="9" spans="1:13" x14ac:dyDescent="0.3">
      <c r="I9" s="27">
        <v>150</v>
      </c>
      <c r="J9" s="27">
        <v>150</v>
      </c>
      <c r="K9" s="4">
        <f>J2+I30+I32+I32+I30</f>
        <v>1400</v>
      </c>
      <c r="L9" s="27" t="str">
        <f>IF(K2&gt;1100,"3",IF(K2&gt;1700,"4",IF(K2&gt;2100,"5","2")))</f>
        <v>2</v>
      </c>
      <c r="M9" s="15">
        <f>((I9*J9*K9)/1000000000)*L9</f>
        <v>6.3E-2</v>
      </c>
    </row>
    <row r="10" spans="1:13" x14ac:dyDescent="0.3">
      <c r="G10" s="38" t="s">
        <v>20</v>
      </c>
      <c r="H10" s="39"/>
      <c r="I10" s="3">
        <v>40</v>
      </c>
      <c r="J10" s="3">
        <f>J9</f>
        <v>150</v>
      </c>
      <c r="K10" s="28">
        <f>K9/6*4</f>
        <v>933.33333333333337</v>
      </c>
      <c r="L10" s="3" t="str">
        <f>L9</f>
        <v>2</v>
      </c>
      <c r="M10" s="15">
        <f t="shared" ref="M10:M12" si="0">((I10*J10*K10)/1000000000)*L10</f>
        <v>1.12E-2</v>
      </c>
    </row>
    <row r="11" spans="1:13" x14ac:dyDescent="0.3">
      <c r="I11" s="3">
        <v>100</v>
      </c>
      <c r="J11" s="3">
        <v>100</v>
      </c>
      <c r="K11" s="3">
        <f>K2</f>
        <v>1000</v>
      </c>
      <c r="L11" s="3">
        <v>2</v>
      </c>
      <c r="M11" s="15">
        <f t="shared" si="0"/>
        <v>0.02</v>
      </c>
    </row>
    <row r="12" spans="1:13" x14ac:dyDescent="0.3">
      <c r="F12" s="11">
        <f>J2</f>
        <v>1300</v>
      </c>
      <c r="I12" s="3">
        <v>25</v>
      </c>
      <c r="J12" s="3">
        <v>100</v>
      </c>
      <c r="K12" s="3">
        <f>K2</f>
        <v>1000</v>
      </c>
      <c r="L12" s="3">
        <f>ROUNDUP(J2/J12,0)-L11</f>
        <v>11</v>
      </c>
      <c r="M12" s="15">
        <f t="shared" si="0"/>
        <v>2.75E-2</v>
      </c>
    </row>
    <row r="13" spans="1:13" x14ac:dyDescent="0.3">
      <c r="I13" s="15"/>
      <c r="J13"/>
      <c r="K13"/>
      <c r="L13"/>
      <c r="M13"/>
    </row>
    <row r="14" spans="1:13" x14ac:dyDescent="0.3">
      <c r="A14" s="1">
        <f>K2+50</f>
        <v>1050</v>
      </c>
      <c r="B14" s="1"/>
      <c r="E14" s="11">
        <f>I32+I30</f>
        <v>50</v>
      </c>
      <c r="I14" s="25" t="str">
        <f>IF(J2&gt;3500,"150","100")</f>
        <v>100</v>
      </c>
      <c r="J14" s="25" t="str">
        <f>IF(K2&gt;1500,"150","100")</f>
        <v>100</v>
      </c>
      <c r="K14" s="25" t="str">
        <f>IF(L2&gt;1600,"150","100")</f>
        <v>100</v>
      </c>
      <c r="L14" s="26">
        <f>(I14+J14+K14)/3</f>
        <v>100</v>
      </c>
    </row>
    <row r="15" spans="1:13" x14ac:dyDescent="0.3">
      <c r="B15" s="1"/>
      <c r="I15" s="25" t="str">
        <f>IF(J2&gt;2000,"150","100")</f>
        <v>100</v>
      </c>
      <c r="J15" s="25" t="str">
        <f>IF(K2&gt;800,"150","100")</f>
        <v>150</v>
      </c>
      <c r="K15" s="25" t="str">
        <f>IF(L2&gt;1000,"150","100")</f>
        <v>100</v>
      </c>
      <c r="L15" s="26">
        <f>(I15+J15+K15)/3</f>
        <v>116.66666666666667</v>
      </c>
    </row>
    <row r="16" spans="1:13" x14ac:dyDescent="0.3">
      <c r="A16" s="13" t="s">
        <v>10</v>
      </c>
      <c r="E16" s="11">
        <v>25</v>
      </c>
    </row>
    <row r="17" spans="1:13" x14ac:dyDescent="0.3">
      <c r="F17" s="11">
        <v>27</v>
      </c>
      <c r="I17" s="5" t="s">
        <v>4</v>
      </c>
      <c r="J17" s="5"/>
      <c r="K17" s="5"/>
      <c r="L17" s="5"/>
    </row>
    <row r="18" spans="1:13" x14ac:dyDescent="0.3">
      <c r="I18" s="4" t="s">
        <v>5</v>
      </c>
      <c r="J18" s="4" t="s">
        <v>6</v>
      </c>
      <c r="K18" s="4" t="s">
        <v>7</v>
      </c>
      <c r="L18" s="4" t="s">
        <v>8</v>
      </c>
    </row>
    <row r="19" spans="1:13" x14ac:dyDescent="0.3">
      <c r="E19" s="11">
        <f>K3-50</f>
        <v>1050</v>
      </c>
      <c r="I19" s="4">
        <v>25</v>
      </c>
      <c r="J19" s="4">
        <v>100</v>
      </c>
      <c r="K19" s="4">
        <f>K2+100</f>
        <v>1100</v>
      </c>
      <c r="L19" s="3">
        <v>3</v>
      </c>
      <c r="M19" s="15">
        <f>((I19*J19*K19)/1000000000)*L19</f>
        <v>8.2500000000000004E-3</v>
      </c>
    </row>
    <row r="20" spans="1:13" x14ac:dyDescent="0.3">
      <c r="I20" s="3">
        <v>25</v>
      </c>
      <c r="J20" s="3">
        <v>100</v>
      </c>
      <c r="K20" s="3">
        <f>J2+100</f>
        <v>1400</v>
      </c>
      <c r="L20" s="22">
        <f>ROUNDUP((K3-50)/J20,0)</f>
        <v>11</v>
      </c>
      <c r="M20" s="15">
        <f t="shared" ref="M20:M21" si="1">((I20*J20*K20)/1000000000)*L20</f>
        <v>3.85E-2</v>
      </c>
    </row>
    <row r="21" spans="1:13" x14ac:dyDescent="0.3">
      <c r="H21" s="2"/>
      <c r="I21" s="27">
        <v>50</v>
      </c>
      <c r="J21" s="4">
        <v>100</v>
      </c>
      <c r="K21" s="4">
        <f>K19-E16-E16-55</f>
        <v>995</v>
      </c>
      <c r="L21" s="3">
        <f>L19</f>
        <v>3</v>
      </c>
      <c r="M21" s="15">
        <f t="shared" si="1"/>
        <v>1.4925000000000001E-2</v>
      </c>
    </row>
    <row r="22" spans="1:13" x14ac:dyDescent="0.3">
      <c r="F22" s="11">
        <v>500</v>
      </c>
    </row>
    <row r="23" spans="1:13" x14ac:dyDescent="0.3">
      <c r="F23" s="11"/>
    </row>
    <row r="24" spans="1:13" x14ac:dyDescent="0.3">
      <c r="A24" s="1"/>
      <c r="C24" s="1"/>
      <c r="E24" s="11">
        <f>K20</f>
        <v>1400</v>
      </c>
      <c r="F24" s="29">
        <v>300</v>
      </c>
    </row>
    <row r="25" spans="1:13" x14ac:dyDescent="0.3">
      <c r="A25" s="1"/>
      <c r="C25" s="1"/>
    </row>
    <row r="26" spans="1:13" ht="11.25" customHeight="1" x14ac:dyDescent="0.3">
      <c r="A26" s="1"/>
      <c r="C26" s="1"/>
      <c r="F26" s="11"/>
    </row>
    <row r="27" spans="1:13" x14ac:dyDescent="0.3">
      <c r="A27" s="40" t="s">
        <v>13</v>
      </c>
      <c r="B27" s="41"/>
      <c r="C27" t="s">
        <v>12</v>
      </c>
      <c r="F27" s="11"/>
    </row>
    <row r="28" spans="1:13" x14ac:dyDescent="0.3">
      <c r="D28" s="11"/>
      <c r="I28" s="33" t="s">
        <v>4</v>
      </c>
      <c r="J28" s="33"/>
      <c r="K28" s="33"/>
      <c r="L28" s="5"/>
    </row>
    <row r="29" spans="1:13" x14ac:dyDescent="0.3">
      <c r="D29" s="43">
        <f>L2+I12</f>
        <v>1025</v>
      </c>
      <c r="I29" s="4" t="s">
        <v>5</v>
      </c>
      <c r="J29" s="4" t="s">
        <v>6</v>
      </c>
      <c r="K29" s="4" t="s">
        <v>7</v>
      </c>
      <c r="L29" s="4" t="s">
        <v>8</v>
      </c>
    </row>
    <row r="30" spans="1:13" x14ac:dyDescent="0.3">
      <c r="D30" s="43"/>
      <c r="F30" s="11"/>
      <c r="I30" s="4">
        <v>25</v>
      </c>
      <c r="J30" s="4">
        <v>100</v>
      </c>
      <c r="K30" s="4">
        <f>L2+I12-J31-J31</f>
        <v>825</v>
      </c>
      <c r="L30" s="27">
        <v>3</v>
      </c>
      <c r="M30" s="15">
        <f>((I30*J30*K30)/1000000000)*L30</f>
        <v>6.1875000000000003E-3</v>
      </c>
    </row>
    <row r="31" spans="1:13" x14ac:dyDescent="0.3">
      <c r="D31" s="43"/>
      <c r="E31" s="12"/>
      <c r="I31" s="3">
        <v>25</v>
      </c>
      <c r="J31" s="3">
        <v>100</v>
      </c>
      <c r="K31" s="3">
        <f>K32</f>
        <v>1000</v>
      </c>
      <c r="L31" s="3">
        <v>2</v>
      </c>
      <c r="M31" s="15">
        <f t="shared" ref="M31:M33" si="2">((I31*J31*K31)/1000000000)*L31</f>
        <v>5.0000000000000001E-3</v>
      </c>
    </row>
    <row r="32" spans="1:13" x14ac:dyDescent="0.3">
      <c r="A32" s="2"/>
      <c r="D32" s="43"/>
      <c r="F32" s="20"/>
      <c r="I32" s="3">
        <v>25</v>
      </c>
      <c r="J32" s="3">
        <v>100</v>
      </c>
      <c r="K32" s="3">
        <f>K2</f>
        <v>1000</v>
      </c>
      <c r="L32" s="22">
        <f>ROUNDUP((L2+I12)/J32,0)</f>
        <v>11</v>
      </c>
      <c r="M32" s="15">
        <f t="shared" si="2"/>
        <v>2.75E-2</v>
      </c>
    </row>
    <row r="33" spans="1:13" x14ac:dyDescent="0.3">
      <c r="D33" s="43"/>
      <c r="F33" s="11"/>
      <c r="G33" s="31" t="s">
        <v>18</v>
      </c>
      <c r="H33" s="32"/>
      <c r="I33" s="3">
        <v>25</v>
      </c>
      <c r="J33" s="3">
        <v>100</v>
      </c>
      <c r="K33" s="23">
        <f>SQRT(((K31-J30*L30)/L33*(K31-J30*L30)/L33)+(K30*K30))</f>
        <v>896.17241644674607</v>
      </c>
      <c r="L33" s="3">
        <f>L30-1</f>
        <v>2</v>
      </c>
      <c r="M33" s="15">
        <f t="shared" si="2"/>
        <v>4.4808620822337306E-3</v>
      </c>
    </row>
    <row r="34" spans="1:13" x14ac:dyDescent="0.3">
      <c r="A34" s="42">
        <f>K31</f>
        <v>1000</v>
      </c>
      <c r="B34" s="42"/>
      <c r="C34" s="42"/>
    </row>
    <row r="35" spans="1:13" x14ac:dyDescent="0.3">
      <c r="C35" s="35"/>
      <c r="D35" s="35"/>
      <c r="K35" s="30"/>
    </row>
    <row r="37" spans="1:13" x14ac:dyDescent="0.3">
      <c r="A37" s="40" t="s">
        <v>14</v>
      </c>
      <c r="B37" s="41"/>
      <c r="C37" t="s">
        <v>12</v>
      </c>
      <c r="E37" s="11">
        <v>200</v>
      </c>
    </row>
    <row r="38" spans="1:13" x14ac:dyDescent="0.3">
      <c r="F38" s="11"/>
      <c r="G38" s="11"/>
      <c r="I38" s="33" t="s">
        <v>4</v>
      </c>
      <c r="J38" s="33"/>
      <c r="K38" s="33"/>
      <c r="L38" s="5"/>
    </row>
    <row r="39" spans="1:13" x14ac:dyDescent="0.3">
      <c r="E39" s="11">
        <v>25</v>
      </c>
      <c r="I39" s="4" t="s">
        <v>5</v>
      </c>
      <c r="J39" s="4" t="s">
        <v>6</v>
      </c>
      <c r="K39" s="4" t="s">
        <v>7</v>
      </c>
      <c r="L39" s="4" t="s">
        <v>8</v>
      </c>
    </row>
    <row r="40" spans="1:13" x14ac:dyDescent="0.3">
      <c r="I40" s="4">
        <v>25</v>
      </c>
      <c r="J40" s="4">
        <v>100</v>
      </c>
      <c r="K40" s="4">
        <f>L2+I12+I19+50</f>
        <v>1100</v>
      </c>
      <c r="L40" s="27">
        <v>3</v>
      </c>
      <c r="M40" s="15">
        <f>((I40*J40*K40)/1000000000)*L40</f>
        <v>8.2500000000000004E-3</v>
      </c>
    </row>
    <row r="41" spans="1:13" x14ac:dyDescent="0.3">
      <c r="E41" s="11">
        <f>L2+I12</f>
        <v>1025</v>
      </c>
      <c r="G41" s="11"/>
      <c r="I41" s="3">
        <v>25</v>
      </c>
      <c r="J41" s="3">
        <v>100</v>
      </c>
      <c r="K41" s="3">
        <f>J2+100</f>
        <v>1400</v>
      </c>
      <c r="L41" s="22">
        <f>ROUNDUP((L2+25)/J41,0)</f>
        <v>11</v>
      </c>
      <c r="M41" s="15">
        <f>((I41*J41*K41)/1000000000)*L41</f>
        <v>3.85E-2</v>
      </c>
    </row>
    <row r="42" spans="1:13" x14ac:dyDescent="0.3">
      <c r="F42" s="11"/>
      <c r="G42" s="31" t="s">
        <v>18</v>
      </c>
      <c r="H42" s="32"/>
      <c r="I42" s="3">
        <v>25</v>
      </c>
      <c r="J42" s="3">
        <v>100</v>
      </c>
      <c r="K42" s="23">
        <f>K40+150</f>
        <v>1250</v>
      </c>
      <c r="L42" s="3">
        <f>L40-1</f>
        <v>2</v>
      </c>
      <c r="M42" s="15">
        <f>((I42*J42*K42)/1000000000)*L42</f>
        <v>6.2500000000000003E-3</v>
      </c>
    </row>
    <row r="43" spans="1:13" x14ac:dyDescent="0.3">
      <c r="I43" s="11"/>
    </row>
    <row r="44" spans="1:13" x14ac:dyDescent="0.3">
      <c r="A44" s="1"/>
      <c r="E44" s="11">
        <v>50</v>
      </c>
    </row>
    <row r="45" spans="1:13" x14ac:dyDescent="0.3">
      <c r="E45" s="11"/>
      <c r="F45" s="11"/>
    </row>
    <row r="46" spans="1:13" x14ac:dyDescent="0.3">
      <c r="A46" s="1"/>
      <c r="C46" s="1">
        <f>K41</f>
        <v>1400</v>
      </c>
    </row>
  </sheetData>
  <mergeCells count="13">
    <mergeCell ref="G42:H42"/>
    <mergeCell ref="I38:K38"/>
    <mergeCell ref="I7:K7"/>
    <mergeCell ref="I28:K28"/>
    <mergeCell ref="A1:B1"/>
    <mergeCell ref="C35:D35"/>
    <mergeCell ref="G33:H33"/>
    <mergeCell ref="K4:L5"/>
    <mergeCell ref="G10:H10"/>
    <mergeCell ref="A37:B37"/>
    <mergeCell ref="A27:B27"/>
    <mergeCell ref="A34:C34"/>
    <mergeCell ref="D29:D33"/>
  </mergeCells>
  <pageMargins left="0.25" right="0.25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женя</dc:creator>
  <cp:lastModifiedBy>Пользователь</cp:lastModifiedBy>
  <cp:lastPrinted>2024-08-19T05:41:18Z</cp:lastPrinted>
  <dcterms:created xsi:type="dcterms:W3CDTF">2017-07-13T08:25:51Z</dcterms:created>
  <dcterms:modified xsi:type="dcterms:W3CDTF">2026-09-01T04:53:20Z</dcterms:modified>
</cp:coreProperties>
</file>