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D:\Документы\Сильван\!Верные чертежи для расчета\"/>
    </mc:Choice>
  </mc:AlternateContent>
  <xr:revisionPtr revIDLastSave="0" documentId="13_ncr:1_{8880E262-4D6C-440D-816F-8C6C2BE89A4F}" xr6:coauthVersionLast="46" xr6:coauthVersionMax="46" xr10:uidLastSave="{00000000-0000-0000-0000-000000000000}"/>
  <bookViews>
    <workbookView xWindow="156" yWindow="72" windowWidth="15024" windowHeight="16548" xr2:uid="{00000000-000D-0000-FFFF-FFFF00000000}"/>
  </bookViews>
  <sheets>
    <sheet name="Лист 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" i="2" l="1"/>
  <c r="A14" i="2" l="1"/>
  <c r="K11" i="2"/>
  <c r="J3" i="2"/>
  <c r="F14" i="2" l="1"/>
  <c r="A16" i="2"/>
  <c r="K12" i="2" l="1"/>
  <c r="L22" i="2"/>
  <c r="I21" i="2" l="1"/>
  <c r="I23" i="2"/>
  <c r="I34" i="2"/>
  <c r="E26" i="2"/>
  <c r="K21" i="2"/>
  <c r="L23" i="2" s="1"/>
  <c r="K22" i="2"/>
  <c r="F20" i="2" l="1"/>
  <c r="L21" i="2"/>
  <c r="I22" i="2"/>
  <c r="L3" i="2" s="1"/>
  <c r="I43" i="2"/>
  <c r="J43" i="2"/>
  <c r="L43" i="2" s="1"/>
  <c r="J34" i="2"/>
  <c r="L34" i="2" s="1"/>
  <c r="K23" i="2"/>
  <c r="M23" i="2" s="1"/>
  <c r="A31" i="2"/>
  <c r="K32" i="2" s="1"/>
  <c r="K34" i="2" l="1"/>
  <c r="M34" i="2" s="1"/>
  <c r="K40" i="2" l="1"/>
  <c r="L41" i="2" s="1"/>
  <c r="L42" i="2" s="1"/>
  <c r="J12" i="2" l="1"/>
  <c r="D39" i="2" l="1"/>
  <c r="F44" i="2"/>
  <c r="K31" i="2"/>
  <c r="L32" i="2" s="1"/>
  <c r="L33" i="2" s="1"/>
  <c r="K14" i="2"/>
  <c r="K13" i="2"/>
  <c r="K43" i="2" l="1"/>
  <c r="M43" i="2" s="1"/>
  <c r="K41" i="2"/>
  <c r="F29" i="2"/>
  <c r="E9" i="2"/>
  <c r="I33" i="2"/>
  <c r="I32" i="2"/>
  <c r="I31" i="2"/>
  <c r="K3" i="2"/>
  <c r="I42" i="2"/>
  <c r="I41" i="2"/>
  <c r="I40" i="2"/>
  <c r="I14" i="2"/>
  <c r="L14" i="2"/>
  <c r="F42" i="2" l="1"/>
  <c r="K42" i="2" s="1"/>
  <c r="C46" i="2"/>
  <c r="M14" i="2"/>
  <c r="M13" i="2"/>
  <c r="L12" i="2"/>
  <c r="M12" i="2" l="1"/>
  <c r="M11" i="2" l="1"/>
  <c r="B36" i="2" l="1"/>
  <c r="F33" i="2" l="1"/>
  <c r="K33" i="2" s="1"/>
  <c r="M33" i="2" l="1"/>
  <c r="M41" i="2" l="1"/>
  <c r="M22" i="2"/>
  <c r="M31" i="2"/>
  <c r="M32" i="2"/>
  <c r="M40" i="2"/>
  <c r="M21" i="2"/>
  <c r="M42" i="2" l="1"/>
  <c r="J4" i="2" s="1"/>
  <c r="H1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женя</author>
  </authors>
  <commentList>
    <comment ref="K33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женя:</t>
        </r>
        <r>
          <rPr>
            <sz val="9"/>
            <color indexed="81"/>
            <rFont val="Tahoma"/>
            <family val="2"/>
            <charset val="204"/>
          </rPr>
          <t xml:space="preserve">
вероятно нужна будет корректировка</t>
        </r>
      </text>
    </comment>
  </commentList>
</comments>
</file>

<file path=xl/sharedStrings.xml><?xml version="1.0" encoding="utf-8"?>
<sst xmlns="http://schemas.openxmlformats.org/spreadsheetml/2006/main" count="44" uniqueCount="27">
  <si>
    <t>Длина</t>
  </si>
  <si>
    <t>Ширина</t>
  </si>
  <si>
    <t>Высота</t>
  </si>
  <si>
    <t>Размеры наружние, мм.:</t>
  </si>
  <si>
    <t>доски, мм.</t>
  </si>
  <si>
    <t>толщина</t>
  </si>
  <si>
    <t>ширина</t>
  </si>
  <si>
    <t>длина</t>
  </si>
  <si>
    <t>кол-во, шт.</t>
  </si>
  <si>
    <t>ДНО</t>
  </si>
  <si>
    <t>КРЫШКА</t>
  </si>
  <si>
    <t>Размеры внутренние мм.:</t>
  </si>
  <si>
    <t xml:space="preserve"> - 2 шт.</t>
  </si>
  <si>
    <t>ЩИТ ТОРЦЕВОЙ</t>
  </si>
  <si>
    <t>ЩИТ БОКОВОЙ</t>
  </si>
  <si>
    <t>Расход пиломатериала, м3:</t>
  </si>
  <si>
    <t>пергамин</t>
  </si>
  <si>
    <t>УКОСИНА</t>
  </si>
  <si>
    <t>подполозная</t>
  </si>
  <si>
    <t>норма времени, ч.</t>
  </si>
  <si>
    <t>толщина досок дна, мм.</t>
  </si>
  <si>
    <t>толщина досок каркаса, мм.</t>
  </si>
  <si>
    <t>толщина поперечены крышки , мм.</t>
  </si>
  <si>
    <t>ПРОВЕРИТЬ</t>
  </si>
  <si>
    <t xml:space="preserve">ГОСТ 10198 </t>
  </si>
  <si>
    <t>т. 2. к. 1.</t>
  </si>
  <si>
    <t>толщина досок обшивки, мм.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</si>
</sst>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1" xfId="0" applyBorder="1"/>
    <xf numFmtId="164" fontId="0" fillId="0" borderId="0" xfId="0" applyNumberFormat="1"/>
    <xf numFmtId="164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right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vertical="center" textRotation="90"/>
    </xf>
    <xf numFmtId="1" fontId="0" fillId="0" borderId="1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8" fillId="0" borderId="0" xfId="0" applyFont="1"/>
    <xf numFmtId="0" fontId="0" fillId="0" borderId="7" xfId="0" applyBorder="1"/>
    <xf numFmtId="0" fontId="0" fillId="0" borderId="7" xfId="0" applyBorder="1" applyAlignment="1">
      <alignment horizontal="center"/>
    </xf>
    <xf numFmtId="164" fontId="0" fillId="0" borderId="7" xfId="0" applyNumberFormat="1" applyBorder="1"/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 vertical="top"/>
    </xf>
    <xf numFmtId="0" fontId="0" fillId="0" borderId="6" xfId="0" applyBorder="1"/>
    <xf numFmtId="0" fontId="1" fillId="0" borderId="7" xfId="0" applyFont="1" applyBorder="1"/>
    <xf numFmtId="0" fontId="1" fillId="0" borderId="7" xfId="0" applyFont="1" applyBorder="1" applyAlignment="1">
      <alignment horizontal="right"/>
    </xf>
    <xf numFmtId="1" fontId="2" fillId="0" borderId="1" xfId="0" applyNumberFormat="1" applyFon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vertical="center"/>
    </xf>
    <xf numFmtId="1" fontId="0" fillId="0" borderId="0" xfId="0" applyNumberFormat="1"/>
    <xf numFmtId="0" fontId="0" fillId="0" borderId="0" xfId="0" applyAlignment="1">
      <alignment horizontal="left" vertical="center" textRotation="90"/>
    </xf>
    <xf numFmtId="0" fontId="0" fillId="0" borderId="8" xfId="0" applyBorder="1"/>
    <xf numFmtId="1" fontId="0" fillId="0" borderId="0" xfId="0" applyNumberFormat="1" applyAlignment="1">
      <alignment horizontal="left" vertical="top"/>
    </xf>
    <xf numFmtId="1" fontId="0" fillId="0" borderId="0" xfId="0" applyNumberFormat="1" applyAlignment="1">
      <alignment vertical="center" textRotation="90"/>
    </xf>
    <xf numFmtId="0" fontId="3" fillId="0" borderId="7" xfId="0" applyFont="1" applyBorder="1" applyAlignment="1">
      <alignment horizontal="right"/>
    </xf>
    <xf numFmtId="0" fontId="0" fillId="0" borderId="1" xfId="0" applyBorder="1" applyAlignment="1">
      <alignment vertical="top"/>
    </xf>
    <xf numFmtId="0" fontId="3" fillId="0" borderId="8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 textRotation="90"/>
    </xf>
    <xf numFmtId="1" fontId="0" fillId="0" borderId="0" xfId="0" applyNumberFormat="1" applyAlignment="1">
      <alignment horizontal="center" vertical="center" textRotation="90"/>
    </xf>
    <xf numFmtId="0" fontId="10" fillId="2" borderId="0" xfId="0" applyFont="1" applyFill="1"/>
    <xf numFmtId="1" fontId="1" fillId="3" borderId="9" xfId="0" applyNumberFormat="1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0" borderId="0" xfId="0" applyAlignment="1">
      <alignment horizontal="center" vertical="center" textRotation="90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64" fontId="6" fillId="0" borderId="3" xfId="0" applyNumberFormat="1" applyFont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7" fillId="0" borderId="2" xfId="0" applyFont="1" applyBorder="1" applyAlignment="1">
      <alignment horizontal="right"/>
    </xf>
    <xf numFmtId="0" fontId="0" fillId="3" borderId="0" xfId="0" applyFill="1" applyAlignment="1">
      <alignment horizontal="right"/>
    </xf>
    <xf numFmtId="0" fontId="0" fillId="3" borderId="2" xfId="0" applyFill="1" applyBorder="1" applyAlignment="1">
      <alignment horizontal="right"/>
    </xf>
    <xf numFmtId="0" fontId="2" fillId="0" borderId="12" xfId="0" applyFont="1" applyBorder="1" applyAlignment="1">
      <alignment horizontal="center"/>
    </xf>
    <xf numFmtId="1" fontId="0" fillId="0" borderId="0" xfId="0" applyNumberFormat="1" applyAlignment="1">
      <alignment horizontal="left" vertical="center" textRotation="90"/>
    </xf>
    <xf numFmtId="0" fontId="0" fillId="0" borderId="0" xfId="0" applyAlignment="1">
      <alignment horizontal="left" vertical="center" textRotation="90"/>
    </xf>
    <xf numFmtId="165" fontId="1" fillId="0" borderId="10" xfId="0" applyNumberFormat="1" applyFont="1" applyBorder="1" applyAlignment="1">
      <alignment horizontal="center"/>
    </xf>
    <xf numFmtId="165" fontId="1" fillId="0" borderId="11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164524</xdr:rowOff>
    </xdr:from>
    <xdr:to>
      <xdr:col>5</xdr:col>
      <xdr:colOff>44759</xdr:colOff>
      <xdr:row>24</xdr:row>
      <xdr:rowOff>172192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50DC6A8-2C7B-4EE4-8EEE-1689C95BE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65024"/>
          <a:ext cx="2960874" cy="9606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17320</xdr:colOff>
      <xdr:row>39</xdr:row>
      <xdr:rowOff>60616</xdr:rowOff>
    </xdr:from>
    <xdr:to>
      <xdr:col>4</xdr:col>
      <xdr:colOff>268433</xdr:colOff>
      <xdr:row>45</xdr:row>
      <xdr:rowOff>91786</xdr:rowOff>
    </xdr:to>
    <xdr:pic>
      <xdr:nvPicPr>
        <xdr:cNvPr id="101" name="Рисунок 100">
          <a:extLst>
            <a:ext uri="{FF2B5EF4-FFF2-40B4-BE49-F238E27FC236}">
              <a16:creationId xmlns:a16="http://schemas.microsoft.com/office/drawing/2014/main" id="{09D86D43-9642-45FA-8645-5FE653BBE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456" y="6381752"/>
          <a:ext cx="2069522" cy="1174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51955</xdr:colOff>
      <xdr:row>29</xdr:row>
      <xdr:rowOff>31642</xdr:rowOff>
    </xdr:from>
    <xdr:to>
      <xdr:col>3</xdr:col>
      <xdr:colOff>571500</xdr:colOff>
      <xdr:row>34</xdr:row>
      <xdr:rowOff>8660</xdr:rowOff>
    </xdr:to>
    <xdr:pic>
      <xdr:nvPicPr>
        <xdr:cNvPr id="75" name="Рисунок 74">
          <a:extLst>
            <a:ext uri="{FF2B5EF4-FFF2-40B4-BE49-F238E27FC236}">
              <a16:creationId xmlns:a16="http://schemas.microsoft.com/office/drawing/2014/main" id="{0C47574F-8459-460A-852F-0003544BD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8091" y="8309733"/>
          <a:ext cx="1731818" cy="9295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130342</xdr:colOff>
      <xdr:row>8</xdr:row>
      <xdr:rowOff>150394</xdr:rowOff>
    </xdr:from>
    <xdr:to>
      <xdr:col>3</xdr:col>
      <xdr:colOff>602246</xdr:colOff>
      <xdr:row>14</xdr:row>
      <xdr:rowOff>135356</xdr:rowOff>
    </xdr:to>
    <xdr:pic>
      <xdr:nvPicPr>
        <xdr:cNvPr id="77" name="Рисунок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47" y="2170697"/>
          <a:ext cx="1695115" cy="1137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213228</xdr:colOff>
      <xdr:row>1</xdr:row>
      <xdr:rowOff>57357</xdr:rowOff>
    </xdr:from>
    <xdr:to>
      <xdr:col>3</xdr:col>
      <xdr:colOff>524957</xdr:colOff>
      <xdr:row>7</xdr:row>
      <xdr:rowOff>189744</xdr:rowOff>
    </xdr:to>
    <xdr:pic>
      <xdr:nvPicPr>
        <xdr:cNvPr id="63" name="Рисунок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228" y="331201"/>
          <a:ext cx="2133385" cy="15611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456699</xdr:colOff>
      <xdr:row>10</xdr:row>
      <xdr:rowOff>83330</xdr:rowOff>
    </xdr:from>
    <xdr:to>
      <xdr:col>4</xdr:col>
      <xdr:colOff>273607</xdr:colOff>
      <xdr:row>11</xdr:row>
      <xdr:rowOff>108730</xdr:rowOff>
    </xdr:to>
    <xdr:cxnSp macro="">
      <xdr:nvCxnSpPr>
        <xdr:cNvPr id="100" name="Прямая соединительная линия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CxnSpPr/>
      </xdr:nvCxnSpPr>
      <xdr:spPr>
        <a:xfrm>
          <a:off x="2291515" y="2484633"/>
          <a:ext cx="428513" cy="2159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366294</xdr:colOff>
      <xdr:row>11</xdr:row>
      <xdr:rowOff>70187</xdr:rowOff>
    </xdr:from>
    <xdr:to>
      <xdr:col>4</xdr:col>
      <xdr:colOff>170447</xdr:colOff>
      <xdr:row>14</xdr:row>
      <xdr:rowOff>135355</xdr:rowOff>
    </xdr:to>
    <xdr:cxnSp macro="">
      <xdr:nvCxnSpPr>
        <xdr:cNvPr id="102" name="Прямая со стрелкой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>
          <a:stCxn id="77" idx="2"/>
        </xdr:cNvCxnSpPr>
      </xdr:nvCxnSpPr>
      <xdr:spPr>
        <a:xfrm flipV="1">
          <a:off x="1589505" y="2672016"/>
          <a:ext cx="1027363" cy="63666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345909</xdr:colOff>
      <xdr:row>13</xdr:row>
      <xdr:rowOff>40106</xdr:rowOff>
    </xdr:from>
    <xdr:to>
      <xdr:col>4</xdr:col>
      <xdr:colOff>461211</xdr:colOff>
      <xdr:row>13</xdr:row>
      <xdr:rowOff>100263</xdr:rowOff>
    </xdr:to>
    <xdr:cxnSp macro="">
      <xdr:nvCxnSpPr>
        <xdr:cNvPr id="104" name="Прямая со стрелко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CxnSpPr/>
      </xdr:nvCxnSpPr>
      <xdr:spPr>
        <a:xfrm flipH="1" flipV="1">
          <a:off x="2180725" y="3022935"/>
          <a:ext cx="726907" cy="6015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491066</xdr:colOff>
      <xdr:row>10</xdr:row>
      <xdr:rowOff>107950</xdr:rowOff>
    </xdr:from>
    <xdr:to>
      <xdr:col>4</xdr:col>
      <xdr:colOff>123824</xdr:colOff>
      <xdr:row>11</xdr:row>
      <xdr:rowOff>63500</xdr:rowOff>
    </xdr:to>
    <xdr:cxnSp macro="">
      <xdr:nvCxnSpPr>
        <xdr:cNvPr id="105" name="Прямая соединительная линия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/>
      </xdr:nvCxnSpPr>
      <xdr:spPr>
        <a:xfrm flipV="1">
          <a:off x="2319866" y="1962150"/>
          <a:ext cx="242358" cy="146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450850</xdr:colOff>
      <xdr:row>10</xdr:row>
      <xdr:rowOff>91017</xdr:rowOff>
    </xdr:from>
    <xdr:to>
      <xdr:col>4</xdr:col>
      <xdr:colOff>82550</xdr:colOff>
      <xdr:row>11</xdr:row>
      <xdr:rowOff>46567</xdr:rowOff>
    </xdr:to>
    <xdr:cxnSp macro="">
      <xdr:nvCxnSpPr>
        <xdr:cNvPr id="108" name="Прямая соединительная линия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CxnSpPr/>
      </xdr:nvCxnSpPr>
      <xdr:spPr>
        <a:xfrm flipV="1">
          <a:off x="2279650" y="1945217"/>
          <a:ext cx="241300" cy="146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96982</xdr:colOff>
      <xdr:row>9</xdr:row>
      <xdr:rowOff>20052</xdr:rowOff>
    </xdr:from>
    <xdr:to>
      <xdr:col>4</xdr:col>
      <xdr:colOff>190500</xdr:colOff>
      <xdr:row>10</xdr:row>
      <xdr:rowOff>83127</xdr:rowOff>
    </xdr:to>
    <xdr:cxnSp macro="">
      <xdr:nvCxnSpPr>
        <xdr:cNvPr id="109" name="Прямая со стрелкой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/>
      </xdr:nvCxnSpPr>
      <xdr:spPr>
        <a:xfrm flipH="1">
          <a:off x="2535382" y="2153652"/>
          <a:ext cx="93518" cy="2431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142875</xdr:colOff>
      <xdr:row>19</xdr:row>
      <xdr:rowOff>866</xdr:rowOff>
    </xdr:from>
    <xdr:to>
      <xdr:col>1</xdr:col>
      <xdr:colOff>467592</xdr:colOff>
      <xdr:row>22</xdr:row>
      <xdr:rowOff>80963</xdr:rowOff>
    </xdr:to>
    <xdr:cxnSp macro="">
      <xdr:nvCxnSpPr>
        <xdr:cNvPr id="119" name="Прямая со стрелко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CxnSpPr/>
      </xdr:nvCxnSpPr>
      <xdr:spPr>
        <a:xfrm flipH="1">
          <a:off x="142875" y="3972791"/>
          <a:ext cx="934317" cy="65159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202774</xdr:colOff>
      <xdr:row>19</xdr:row>
      <xdr:rowOff>81027</xdr:rowOff>
    </xdr:from>
    <xdr:to>
      <xdr:col>5</xdr:col>
      <xdr:colOff>123642</xdr:colOff>
      <xdr:row>21</xdr:row>
      <xdr:rowOff>78764</xdr:rowOff>
    </xdr:to>
    <xdr:cxnSp macro="">
      <xdr:nvCxnSpPr>
        <xdr:cNvPr id="125" name="Прямая со стрелкой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CxnSpPr/>
      </xdr:nvCxnSpPr>
      <xdr:spPr>
        <a:xfrm>
          <a:off x="2024430" y="4057715"/>
          <a:ext cx="1016243" cy="378737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599238</xdr:colOff>
      <xdr:row>18</xdr:row>
      <xdr:rowOff>142875</xdr:rowOff>
    </xdr:from>
    <xdr:to>
      <xdr:col>3</xdr:col>
      <xdr:colOff>71438</xdr:colOff>
      <xdr:row>19</xdr:row>
      <xdr:rowOff>119063</xdr:rowOff>
    </xdr:to>
    <xdr:cxnSp macro="">
      <xdr:nvCxnSpPr>
        <xdr:cNvPr id="127" name="Прямая со стрелкой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CxnSpPr/>
      </xdr:nvCxnSpPr>
      <xdr:spPr>
        <a:xfrm>
          <a:off x="1208838" y="3924300"/>
          <a:ext cx="691400" cy="16668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581982</xdr:colOff>
      <xdr:row>41</xdr:row>
      <xdr:rowOff>8659</xdr:rowOff>
    </xdr:from>
    <xdr:to>
      <xdr:col>4</xdr:col>
      <xdr:colOff>311728</xdr:colOff>
      <xdr:row>45</xdr:row>
      <xdr:rowOff>87502</xdr:rowOff>
    </xdr:to>
    <xdr:cxnSp macro="">
      <xdr:nvCxnSpPr>
        <xdr:cNvPr id="149" name="Прямая со стрелкой 148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CxnSpPr/>
      </xdr:nvCxnSpPr>
      <xdr:spPr>
        <a:xfrm flipH="1">
          <a:off x="2400391" y="6710795"/>
          <a:ext cx="335882" cy="84084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51956</xdr:colOff>
      <xdr:row>43</xdr:row>
      <xdr:rowOff>110351</xdr:rowOff>
    </xdr:from>
    <xdr:to>
      <xdr:col>1</xdr:col>
      <xdr:colOff>268282</xdr:colOff>
      <xdr:row>45</xdr:row>
      <xdr:rowOff>164523</xdr:rowOff>
    </xdr:to>
    <xdr:cxnSp macro="">
      <xdr:nvCxnSpPr>
        <xdr:cNvPr id="153" name="Прямая соединительная линия 15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CxnSpPr/>
      </xdr:nvCxnSpPr>
      <xdr:spPr>
        <a:xfrm flipH="1">
          <a:off x="658092" y="7193487"/>
          <a:ext cx="216326" cy="435172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155864</xdr:colOff>
      <xdr:row>44</xdr:row>
      <xdr:rowOff>129886</xdr:rowOff>
    </xdr:from>
    <xdr:to>
      <xdr:col>3</xdr:col>
      <xdr:colOff>277091</xdr:colOff>
      <xdr:row>45</xdr:row>
      <xdr:rowOff>138546</xdr:rowOff>
    </xdr:to>
    <xdr:cxnSp macro="">
      <xdr:nvCxnSpPr>
        <xdr:cNvPr id="155" name="Прямая со стрелкой 154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/>
      </xdr:nvCxnSpPr>
      <xdr:spPr>
        <a:xfrm>
          <a:off x="762000" y="7403522"/>
          <a:ext cx="1333500" cy="19916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77932</xdr:colOff>
      <xdr:row>38</xdr:row>
      <xdr:rowOff>112569</xdr:rowOff>
    </xdr:from>
    <xdr:to>
      <xdr:col>3</xdr:col>
      <xdr:colOff>112568</xdr:colOff>
      <xdr:row>38</xdr:row>
      <xdr:rowOff>112570</xdr:rowOff>
    </xdr:to>
    <xdr:cxnSp macro="">
      <xdr:nvCxnSpPr>
        <xdr:cNvPr id="158" name="Прямая со стрелкой 157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CxnSpPr/>
      </xdr:nvCxnSpPr>
      <xdr:spPr>
        <a:xfrm flipH="1">
          <a:off x="1290205" y="6243205"/>
          <a:ext cx="640772" cy="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599323</xdr:colOff>
      <xdr:row>13</xdr:row>
      <xdr:rowOff>101016</xdr:rowOff>
    </xdr:from>
    <xdr:to>
      <xdr:col>2</xdr:col>
      <xdr:colOff>431131</xdr:colOff>
      <xdr:row>15</xdr:row>
      <xdr:rowOff>10026</xdr:rowOff>
    </xdr:to>
    <xdr:cxnSp macro="">
      <xdr:nvCxnSpPr>
        <xdr:cNvPr id="59" name="Прямая соединительная линия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1210928" y="3083845"/>
          <a:ext cx="443414" cy="29001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589359</xdr:colOff>
      <xdr:row>11</xdr:row>
      <xdr:rowOff>83344</xdr:rowOff>
    </xdr:from>
    <xdr:to>
      <xdr:col>1</xdr:col>
      <xdr:colOff>238835</xdr:colOff>
      <xdr:row>12</xdr:row>
      <xdr:rowOff>80002</xdr:rowOff>
    </xdr:to>
    <xdr:cxnSp macro="">
      <xdr:nvCxnSpPr>
        <xdr:cNvPr id="60" name="Прямая соединительная линия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>
          <a:off x="589359" y="2619375"/>
          <a:ext cx="256695" cy="18715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531395</xdr:colOff>
      <xdr:row>11</xdr:row>
      <xdr:rowOff>95250</xdr:rowOff>
    </xdr:from>
    <xdr:to>
      <xdr:col>1</xdr:col>
      <xdr:colOff>201697</xdr:colOff>
      <xdr:row>12</xdr:row>
      <xdr:rowOff>96880</xdr:rowOff>
    </xdr:to>
    <xdr:cxnSp macro="">
      <xdr:nvCxnSpPr>
        <xdr:cNvPr id="61" name="Прямая соединительная линия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>
          <a:off x="531395" y="2687053"/>
          <a:ext cx="281907" cy="19213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350921</xdr:colOff>
      <xdr:row>11</xdr:row>
      <xdr:rowOff>180474</xdr:rowOff>
    </xdr:from>
    <xdr:to>
      <xdr:col>1</xdr:col>
      <xdr:colOff>45119</xdr:colOff>
      <xdr:row>12</xdr:row>
      <xdr:rowOff>180473</xdr:rowOff>
    </xdr:to>
    <xdr:cxnSp macro="">
      <xdr:nvCxnSpPr>
        <xdr:cNvPr id="62" name="Прямая со стрелко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flipV="1">
          <a:off x="350921" y="2772277"/>
          <a:ext cx="305803" cy="19049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317294</xdr:colOff>
      <xdr:row>21</xdr:row>
      <xdr:rowOff>89067</xdr:rowOff>
    </xdr:from>
    <xdr:to>
      <xdr:col>5</xdr:col>
      <xdr:colOff>387804</xdr:colOff>
      <xdr:row>22</xdr:row>
      <xdr:rowOff>102054</xdr:rowOff>
    </xdr:to>
    <xdr:cxnSp macro="">
      <xdr:nvCxnSpPr>
        <xdr:cNvPr id="83" name="Прямая соединительная линия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/>
      </xdr:nvCxnSpPr>
      <xdr:spPr>
        <a:xfrm>
          <a:off x="2766580" y="4450156"/>
          <a:ext cx="553563" cy="20348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112939</xdr:colOff>
      <xdr:row>22</xdr:row>
      <xdr:rowOff>65995</xdr:rowOff>
    </xdr:from>
    <xdr:to>
      <xdr:col>0</xdr:col>
      <xdr:colOff>325440</xdr:colOff>
      <xdr:row>22</xdr:row>
      <xdr:rowOff>181858</xdr:rowOff>
    </xdr:to>
    <xdr:cxnSp macro="">
      <xdr:nvCxnSpPr>
        <xdr:cNvPr id="94" name="Прямая соединительная линия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CxnSpPr/>
      </xdr:nvCxnSpPr>
      <xdr:spPr>
        <a:xfrm>
          <a:off x="112939" y="4609420"/>
          <a:ext cx="212501" cy="115863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214622</xdr:colOff>
      <xdr:row>23</xdr:row>
      <xdr:rowOff>137309</xdr:rowOff>
    </xdr:from>
    <xdr:to>
      <xdr:col>4</xdr:col>
      <xdr:colOff>61232</xdr:colOff>
      <xdr:row>25</xdr:row>
      <xdr:rowOff>47625</xdr:rowOff>
    </xdr:to>
    <xdr:cxnSp macro="">
      <xdr:nvCxnSpPr>
        <xdr:cNvPr id="98" name="Прямая со стрелко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CxnSpPr/>
      </xdr:nvCxnSpPr>
      <xdr:spPr>
        <a:xfrm flipH="1" flipV="1">
          <a:off x="2051586" y="4879398"/>
          <a:ext cx="458932" cy="29131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216477</xdr:colOff>
      <xdr:row>44</xdr:row>
      <xdr:rowOff>143224</xdr:rowOff>
    </xdr:from>
    <xdr:to>
      <xdr:col>3</xdr:col>
      <xdr:colOff>350253</xdr:colOff>
      <xdr:row>46</xdr:row>
      <xdr:rowOff>51955</xdr:rowOff>
    </xdr:to>
    <xdr:cxnSp macro="">
      <xdr:nvCxnSpPr>
        <xdr:cNvPr id="106" name="Прямая соединительная линия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CxnSpPr/>
      </xdr:nvCxnSpPr>
      <xdr:spPr>
        <a:xfrm flipH="1">
          <a:off x="2034886" y="9062088"/>
          <a:ext cx="133776" cy="341685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38245</xdr:colOff>
      <xdr:row>40</xdr:row>
      <xdr:rowOff>145329</xdr:rowOff>
    </xdr:from>
    <xdr:to>
      <xdr:col>5</xdr:col>
      <xdr:colOff>25977</xdr:colOff>
      <xdr:row>41</xdr:row>
      <xdr:rowOff>0</xdr:rowOff>
    </xdr:to>
    <xdr:cxnSp macro="">
      <xdr:nvCxnSpPr>
        <xdr:cNvPr id="107" name="Прямая соединительная линия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2462790" y="6656965"/>
          <a:ext cx="472642" cy="45171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226746</xdr:colOff>
      <xdr:row>45</xdr:row>
      <xdr:rowOff>45240</xdr:rowOff>
    </xdr:from>
    <xdr:to>
      <xdr:col>4</xdr:col>
      <xdr:colOff>147205</xdr:colOff>
      <xdr:row>45</xdr:row>
      <xdr:rowOff>95250</xdr:rowOff>
    </xdr:to>
    <xdr:cxnSp macro="">
      <xdr:nvCxnSpPr>
        <xdr:cNvPr id="111" name="Прямая соединительная линия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CxnSpPr/>
      </xdr:nvCxnSpPr>
      <xdr:spPr>
        <a:xfrm>
          <a:off x="2045155" y="7509376"/>
          <a:ext cx="526595" cy="5001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581163</xdr:colOff>
      <xdr:row>38</xdr:row>
      <xdr:rowOff>51955</xdr:rowOff>
    </xdr:from>
    <xdr:to>
      <xdr:col>2</xdr:col>
      <xdr:colOff>129886</xdr:colOff>
      <xdr:row>40</xdr:row>
      <xdr:rowOff>31415</xdr:rowOff>
    </xdr:to>
    <xdr:cxnSp macro="">
      <xdr:nvCxnSpPr>
        <xdr:cNvPr id="113" name="Прямая соединительная линия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CxnSpPr/>
      </xdr:nvCxnSpPr>
      <xdr:spPr>
        <a:xfrm flipH="1">
          <a:off x="1187299" y="6182591"/>
          <a:ext cx="154860" cy="36046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480230</xdr:colOff>
      <xdr:row>38</xdr:row>
      <xdr:rowOff>17319</xdr:rowOff>
    </xdr:from>
    <xdr:to>
      <xdr:col>2</xdr:col>
      <xdr:colOff>51954</xdr:colOff>
      <xdr:row>40</xdr:row>
      <xdr:rowOff>18139</xdr:rowOff>
    </xdr:to>
    <xdr:cxnSp macro="">
      <xdr:nvCxnSpPr>
        <xdr:cNvPr id="114" name="Прямая соединительная линия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/>
      </xdr:nvCxnSpPr>
      <xdr:spPr>
        <a:xfrm flipH="1">
          <a:off x="1086366" y="6147955"/>
          <a:ext cx="177861" cy="38182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493568</xdr:colOff>
      <xdr:row>28</xdr:row>
      <xdr:rowOff>89647</xdr:rowOff>
    </xdr:from>
    <xdr:to>
      <xdr:col>4</xdr:col>
      <xdr:colOff>476251</xdr:colOff>
      <xdr:row>28</xdr:row>
      <xdr:rowOff>155864</xdr:rowOff>
    </xdr:to>
    <xdr:cxnSp macro="">
      <xdr:nvCxnSpPr>
        <xdr:cNvPr id="55" name="Прямая со стрелкой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CxnSpPr/>
      </xdr:nvCxnSpPr>
      <xdr:spPr>
        <a:xfrm flipH="1">
          <a:off x="2311977" y="8125283"/>
          <a:ext cx="588819" cy="662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447339</xdr:colOff>
      <xdr:row>32</xdr:row>
      <xdr:rowOff>140436</xdr:rowOff>
    </xdr:from>
    <xdr:to>
      <xdr:col>3</xdr:col>
      <xdr:colOff>451640</xdr:colOff>
      <xdr:row>35</xdr:row>
      <xdr:rowOff>39649</xdr:rowOff>
    </xdr:to>
    <xdr:cxnSp macro="">
      <xdr:nvCxnSpPr>
        <xdr:cNvPr id="56" name="Прямая соединительная линия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>
          <a:off x="2265748" y="6686709"/>
          <a:ext cx="4301" cy="470713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455674</xdr:colOff>
      <xdr:row>28</xdr:row>
      <xdr:rowOff>62964</xdr:rowOff>
    </xdr:from>
    <xdr:to>
      <xdr:col>3</xdr:col>
      <xdr:colOff>457169</xdr:colOff>
      <xdr:row>30</xdr:row>
      <xdr:rowOff>21876</xdr:rowOff>
    </xdr:to>
    <xdr:cxnSp macro="">
      <xdr:nvCxnSpPr>
        <xdr:cNvPr id="57" name="Прямая соединительная линия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/>
      </xdr:nvCxnSpPr>
      <xdr:spPr>
        <a:xfrm flipH="1">
          <a:off x="2274083" y="8098600"/>
          <a:ext cx="1495" cy="391867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112569</xdr:colOff>
      <xdr:row>34</xdr:row>
      <xdr:rowOff>95250</xdr:rowOff>
    </xdr:from>
    <xdr:to>
      <xdr:col>3</xdr:col>
      <xdr:colOff>458932</xdr:colOff>
      <xdr:row>34</xdr:row>
      <xdr:rowOff>103909</xdr:rowOff>
    </xdr:to>
    <xdr:cxnSp macro="">
      <xdr:nvCxnSpPr>
        <xdr:cNvPr id="58" name="Прямая со стрелкой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 flipV="1">
          <a:off x="718705" y="7022523"/>
          <a:ext cx="1558636" cy="8659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379864</xdr:colOff>
      <xdr:row>33</xdr:row>
      <xdr:rowOff>26488</xdr:rowOff>
    </xdr:from>
    <xdr:to>
      <xdr:col>4</xdr:col>
      <xdr:colOff>245919</xdr:colOff>
      <xdr:row>33</xdr:row>
      <xdr:rowOff>29441</xdr:rowOff>
    </xdr:to>
    <xdr:cxnSp macro="">
      <xdr:nvCxnSpPr>
        <xdr:cNvPr id="71" name="Прямая соединительная линия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CxnSpPr/>
      </xdr:nvCxnSpPr>
      <xdr:spPr>
        <a:xfrm>
          <a:off x="2198273" y="9066579"/>
          <a:ext cx="472191" cy="2953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186846</xdr:colOff>
      <xdr:row>33</xdr:row>
      <xdr:rowOff>180109</xdr:rowOff>
    </xdr:from>
    <xdr:to>
      <xdr:col>4</xdr:col>
      <xdr:colOff>242455</xdr:colOff>
      <xdr:row>33</xdr:row>
      <xdr:rowOff>181660</xdr:rowOff>
    </xdr:to>
    <xdr:cxnSp macro="">
      <xdr:nvCxnSpPr>
        <xdr:cNvPr id="72" name="Прямая соединительная линия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 flipV="1">
          <a:off x="2005255" y="9220200"/>
          <a:ext cx="661745" cy="1551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77934</xdr:colOff>
      <xdr:row>33</xdr:row>
      <xdr:rowOff>103909</xdr:rowOff>
    </xdr:from>
    <xdr:to>
      <xdr:col>5</xdr:col>
      <xdr:colOff>138545</xdr:colOff>
      <xdr:row>34</xdr:row>
      <xdr:rowOff>86591</xdr:rowOff>
    </xdr:to>
    <xdr:cxnSp macro="">
      <xdr:nvCxnSpPr>
        <xdr:cNvPr id="73" name="Прямая со стрелкой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CxnSpPr/>
      </xdr:nvCxnSpPr>
      <xdr:spPr>
        <a:xfrm flipH="1" flipV="1">
          <a:off x="2502479" y="9144000"/>
          <a:ext cx="545521" cy="17318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120242</xdr:colOff>
      <xdr:row>32</xdr:row>
      <xdr:rowOff>164702</xdr:rowOff>
    </xdr:from>
    <xdr:to>
      <xdr:col>1</xdr:col>
      <xdr:colOff>121227</xdr:colOff>
      <xdr:row>34</xdr:row>
      <xdr:rowOff>181841</xdr:rowOff>
    </xdr:to>
    <xdr:cxnSp macro="">
      <xdr:nvCxnSpPr>
        <xdr:cNvPr id="78" name="Прямая соединительная линия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>
          <a:off x="726378" y="6710975"/>
          <a:ext cx="985" cy="398139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51762</xdr:colOff>
      <xdr:row>29</xdr:row>
      <xdr:rowOff>170497</xdr:rowOff>
    </xdr:from>
    <xdr:to>
      <xdr:col>1</xdr:col>
      <xdr:colOff>226059</xdr:colOff>
      <xdr:row>29</xdr:row>
      <xdr:rowOff>170775</xdr:rowOff>
    </xdr:to>
    <xdr:cxnSp macro="">
      <xdr:nvCxnSpPr>
        <xdr:cNvPr id="79" name="Прямая соединительная линия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>
          <a:off x="51762" y="8448588"/>
          <a:ext cx="780433" cy="278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58993</xdr:colOff>
      <xdr:row>33</xdr:row>
      <xdr:rowOff>32730</xdr:rowOff>
    </xdr:from>
    <xdr:to>
      <xdr:col>1</xdr:col>
      <xdr:colOff>233290</xdr:colOff>
      <xdr:row>33</xdr:row>
      <xdr:rowOff>33008</xdr:rowOff>
    </xdr:to>
    <xdr:cxnSp macro="">
      <xdr:nvCxnSpPr>
        <xdr:cNvPr id="80" name="Прямая соединительная линия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>
          <a:off x="58993" y="9072821"/>
          <a:ext cx="780433" cy="278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233795</xdr:colOff>
      <xdr:row>30</xdr:row>
      <xdr:rowOff>17318</xdr:rowOff>
    </xdr:from>
    <xdr:to>
      <xdr:col>0</xdr:col>
      <xdr:colOff>242455</xdr:colOff>
      <xdr:row>33</xdr:row>
      <xdr:rowOff>17318</xdr:rowOff>
    </xdr:to>
    <xdr:cxnSp macro="">
      <xdr:nvCxnSpPr>
        <xdr:cNvPr id="81" name="Прямая со стрелкой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>
          <a:off x="233795" y="8485909"/>
          <a:ext cx="8660" cy="5715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421105</xdr:colOff>
      <xdr:row>12</xdr:row>
      <xdr:rowOff>67929</xdr:rowOff>
    </xdr:from>
    <xdr:to>
      <xdr:col>1</xdr:col>
      <xdr:colOff>145131</xdr:colOff>
      <xdr:row>13</xdr:row>
      <xdr:rowOff>145381</xdr:rowOff>
    </xdr:to>
    <xdr:cxnSp macro="">
      <xdr:nvCxnSpPr>
        <xdr:cNvPr id="85" name="Прямая соединительная линия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CxnSpPr/>
      </xdr:nvCxnSpPr>
      <xdr:spPr>
        <a:xfrm flipH="1">
          <a:off x="421105" y="2860258"/>
          <a:ext cx="335631" cy="26795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473243</xdr:colOff>
      <xdr:row>14</xdr:row>
      <xdr:rowOff>84974</xdr:rowOff>
    </xdr:from>
    <xdr:to>
      <xdr:col>2</xdr:col>
      <xdr:colOff>197268</xdr:colOff>
      <xdr:row>15</xdr:row>
      <xdr:rowOff>162426</xdr:rowOff>
    </xdr:to>
    <xdr:cxnSp macro="">
      <xdr:nvCxnSpPr>
        <xdr:cNvPr id="87" name="Прямая соединительная линия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/>
      </xdr:nvCxnSpPr>
      <xdr:spPr>
        <a:xfrm flipH="1">
          <a:off x="1084848" y="3258303"/>
          <a:ext cx="335631" cy="26795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457989</xdr:colOff>
      <xdr:row>13</xdr:row>
      <xdr:rowOff>108284</xdr:rowOff>
    </xdr:from>
    <xdr:to>
      <xdr:col>1</xdr:col>
      <xdr:colOff>490742</xdr:colOff>
      <xdr:row>15</xdr:row>
      <xdr:rowOff>121318</xdr:rowOff>
    </xdr:to>
    <xdr:cxnSp macro="">
      <xdr:nvCxnSpPr>
        <xdr:cNvPr id="88" name="Прямая со стрелкой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/>
      </xdr:nvCxnSpPr>
      <xdr:spPr>
        <a:xfrm>
          <a:off x="457989" y="2962320"/>
          <a:ext cx="642353" cy="373253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222494</xdr:colOff>
      <xdr:row>38</xdr:row>
      <xdr:rowOff>99534</xdr:rowOff>
    </xdr:from>
    <xdr:to>
      <xdr:col>4</xdr:col>
      <xdr:colOff>337796</xdr:colOff>
      <xdr:row>40</xdr:row>
      <xdr:rowOff>69790</xdr:rowOff>
    </xdr:to>
    <xdr:cxnSp macro="">
      <xdr:nvCxnSpPr>
        <xdr:cNvPr id="121" name="Прямая соединительная линия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CxnSpPr/>
      </xdr:nvCxnSpPr>
      <xdr:spPr>
        <a:xfrm flipH="1">
          <a:off x="2660894" y="5911516"/>
          <a:ext cx="115302" cy="330474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72191</xdr:colOff>
      <xdr:row>38</xdr:row>
      <xdr:rowOff>95250</xdr:rowOff>
    </xdr:from>
    <xdr:to>
      <xdr:col>4</xdr:col>
      <xdr:colOff>207819</xdr:colOff>
      <xdr:row>40</xdr:row>
      <xdr:rowOff>142708</xdr:rowOff>
    </xdr:to>
    <xdr:cxnSp macro="">
      <xdr:nvCxnSpPr>
        <xdr:cNvPr id="123" name="Прямая соединительная линия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CxnSpPr/>
      </xdr:nvCxnSpPr>
      <xdr:spPr>
        <a:xfrm flipH="1">
          <a:off x="2496736" y="6225886"/>
          <a:ext cx="135628" cy="428458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458932</xdr:colOff>
      <xdr:row>38</xdr:row>
      <xdr:rowOff>112569</xdr:rowOff>
    </xdr:from>
    <xdr:to>
      <xdr:col>4</xdr:col>
      <xdr:colOff>225137</xdr:colOff>
      <xdr:row>39</xdr:row>
      <xdr:rowOff>51955</xdr:rowOff>
    </xdr:to>
    <xdr:cxnSp macro="">
      <xdr:nvCxnSpPr>
        <xdr:cNvPr id="126" name="Прямая со стрелкой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CxnSpPr/>
      </xdr:nvCxnSpPr>
      <xdr:spPr>
        <a:xfrm>
          <a:off x="2277341" y="6243205"/>
          <a:ext cx="372341" cy="12988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199160</xdr:colOff>
      <xdr:row>43</xdr:row>
      <xdr:rowOff>69273</xdr:rowOff>
    </xdr:from>
    <xdr:to>
      <xdr:col>5</xdr:col>
      <xdr:colOff>169782</xdr:colOff>
      <xdr:row>43</xdr:row>
      <xdr:rowOff>101600</xdr:rowOff>
    </xdr:to>
    <xdr:cxnSp macro="">
      <xdr:nvCxnSpPr>
        <xdr:cNvPr id="136" name="Прямая со стрелкой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CxnSpPr/>
      </xdr:nvCxnSpPr>
      <xdr:spPr>
        <a:xfrm flipH="1" flipV="1">
          <a:off x="2623705" y="7152409"/>
          <a:ext cx="455532" cy="3232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563754</xdr:colOff>
      <xdr:row>28</xdr:row>
      <xdr:rowOff>71868</xdr:rowOff>
    </xdr:from>
    <xdr:to>
      <xdr:col>3</xdr:col>
      <xdr:colOff>565249</xdr:colOff>
      <xdr:row>30</xdr:row>
      <xdr:rowOff>30780</xdr:rowOff>
    </xdr:to>
    <xdr:cxnSp macro="">
      <xdr:nvCxnSpPr>
        <xdr:cNvPr id="74" name="Прямая соединительная линия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/>
      </xdr:nvCxnSpPr>
      <xdr:spPr>
        <a:xfrm flipH="1">
          <a:off x="2382163" y="8107504"/>
          <a:ext cx="1495" cy="391867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164523</xdr:colOff>
      <xdr:row>29</xdr:row>
      <xdr:rowOff>121228</xdr:rowOff>
    </xdr:from>
    <xdr:to>
      <xdr:col>5</xdr:col>
      <xdr:colOff>129886</xdr:colOff>
      <xdr:row>30</xdr:row>
      <xdr:rowOff>77932</xdr:rowOff>
    </xdr:to>
    <xdr:cxnSp macro="">
      <xdr:nvCxnSpPr>
        <xdr:cNvPr id="76" name="Прямая со стрелкой 75">
          <a:extLst>
            <a:ext uri="{FF2B5EF4-FFF2-40B4-BE49-F238E27FC236}">
              <a16:creationId xmlns:a16="http://schemas.microsoft.com/office/drawing/2014/main" id="{920EEEFE-6396-4F82-A6FA-B32C61658B13}"/>
            </a:ext>
          </a:extLst>
        </xdr:cNvPr>
        <xdr:cNvCxnSpPr/>
      </xdr:nvCxnSpPr>
      <xdr:spPr>
        <a:xfrm flipH="1" flipV="1">
          <a:off x="2589068" y="8399319"/>
          <a:ext cx="450273" cy="14720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419696</xdr:colOff>
      <xdr:row>29</xdr:row>
      <xdr:rowOff>40342</xdr:rowOff>
    </xdr:from>
    <xdr:to>
      <xdr:col>4</xdr:col>
      <xdr:colOff>285751</xdr:colOff>
      <xdr:row>29</xdr:row>
      <xdr:rowOff>43295</xdr:rowOff>
    </xdr:to>
    <xdr:cxnSp macro="">
      <xdr:nvCxnSpPr>
        <xdr:cNvPr id="82" name="Прямая соединительная линия 81">
          <a:extLst>
            <a:ext uri="{FF2B5EF4-FFF2-40B4-BE49-F238E27FC236}">
              <a16:creationId xmlns:a16="http://schemas.microsoft.com/office/drawing/2014/main" id="{C5B91336-E1D4-4275-9296-64AEE24C6D2A}"/>
            </a:ext>
          </a:extLst>
        </xdr:cNvPr>
        <xdr:cNvCxnSpPr/>
      </xdr:nvCxnSpPr>
      <xdr:spPr>
        <a:xfrm>
          <a:off x="2238105" y="8318433"/>
          <a:ext cx="472191" cy="2953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407573</xdr:colOff>
      <xdr:row>29</xdr:row>
      <xdr:rowOff>166764</xdr:rowOff>
    </xdr:from>
    <xdr:to>
      <xdr:col>4</xdr:col>
      <xdr:colOff>273628</xdr:colOff>
      <xdr:row>29</xdr:row>
      <xdr:rowOff>169717</xdr:rowOff>
    </xdr:to>
    <xdr:cxnSp macro="">
      <xdr:nvCxnSpPr>
        <xdr:cNvPr id="90" name="Прямая соединительная линия 89">
          <a:extLst>
            <a:ext uri="{FF2B5EF4-FFF2-40B4-BE49-F238E27FC236}">
              <a16:creationId xmlns:a16="http://schemas.microsoft.com/office/drawing/2014/main" id="{9234DC18-2F69-41EC-B815-70FC9546CD72}"/>
            </a:ext>
          </a:extLst>
        </xdr:cNvPr>
        <xdr:cNvCxnSpPr/>
      </xdr:nvCxnSpPr>
      <xdr:spPr>
        <a:xfrm>
          <a:off x="2225982" y="8444855"/>
          <a:ext cx="472191" cy="2953"/>
        </a:xfrm>
        <a:prstGeom prst="line">
          <a:avLst/>
        </a:prstGeom>
        <a:ln w="31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181986</xdr:colOff>
      <xdr:row>40</xdr:row>
      <xdr:rowOff>63933</xdr:rowOff>
    </xdr:from>
    <xdr:to>
      <xdr:col>5</xdr:col>
      <xdr:colOff>51954</xdr:colOff>
      <xdr:row>40</xdr:row>
      <xdr:rowOff>103909</xdr:rowOff>
    </xdr:to>
    <xdr:cxnSp macro="">
      <xdr:nvCxnSpPr>
        <xdr:cNvPr id="110" name="Прямая соединительная линия 109">
          <a:extLst>
            <a:ext uri="{FF2B5EF4-FFF2-40B4-BE49-F238E27FC236}">
              <a16:creationId xmlns:a16="http://schemas.microsoft.com/office/drawing/2014/main" id="{F388C0F9-5132-4FF6-9149-7469C089BAC1}"/>
            </a:ext>
          </a:extLst>
        </xdr:cNvPr>
        <xdr:cNvCxnSpPr/>
      </xdr:nvCxnSpPr>
      <xdr:spPr>
        <a:xfrm>
          <a:off x="2606531" y="6575569"/>
          <a:ext cx="354878" cy="39976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351560</xdr:colOff>
      <xdr:row>38</xdr:row>
      <xdr:rowOff>173182</xdr:rowOff>
    </xdr:from>
    <xdr:to>
      <xdr:col>5</xdr:col>
      <xdr:colOff>285750</xdr:colOff>
      <xdr:row>40</xdr:row>
      <xdr:rowOff>135083</xdr:rowOff>
    </xdr:to>
    <xdr:cxnSp macro="">
      <xdr:nvCxnSpPr>
        <xdr:cNvPr id="116" name="Прямая со стрелкой 115">
          <a:extLst>
            <a:ext uri="{FF2B5EF4-FFF2-40B4-BE49-F238E27FC236}">
              <a16:creationId xmlns:a16="http://schemas.microsoft.com/office/drawing/2014/main" id="{CE95F470-67E1-4427-B254-1D40E47947D9}"/>
            </a:ext>
          </a:extLst>
        </xdr:cNvPr>
        <xdr:cNvCxnSpPr/>
      </xdr:nvCxnSpPr>
      <xdr:spPr>
        <a:xfrm flipH="1">
          <a:off x="2776105" y="6312477"/>
          <a:ext cx="419100" cy="34290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352425</xdr:colOff>
      <xdr:row>19</xdr:row>
      <xdr:rowOff>146538</xdr:rowOff>
    </xdr:from>
    <xdr:to>
      <xdr:col>3</xdr:col>
      <xdr:colOff>197827</xdr:colOff>
      <xdr:row>20</xdr:row>
      <xdr:rowOff>104775</xdr:rowOff>
    </xdr:to>
    <xdr:cxnSp macro="">
      <xdr:nvCxnSpPr>
        <xdr:cNvPr id="128" name="Прямая соединительная линия 127">
          <a:extLst>
            <a:ext uri="{FF2B5EF4-FFF2-40B4-BE49-F238E27FC236}">
              <a16:creationId xmlns:a16="http://schemas.microsoft.com/office/drawing/2014/main" id="{618458C9-22F2-4A1D-ADD2-BFE22E4C0B45}"/>
            </a:ext>
          </a:extLst>
        </xdr:cNvPr>
        <xdr:cNvCxnSpPr/>
      </xdr:nvCxnSpPr>
      <xdr:spPr>
        <a:xfrm flipV="1">
          <a:off x="1571625" y="4118463"/>
          <a:ext cx="455002" cy="14873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57816</xdr:colOff>
      <xdr:row>19</xdr:row>
      <xdr:rowOff>124558</xdr:rowOff>
    </xdr:from>
    <xdr:to>
      <xdr:col>5</xdr:col>
      <xdr:colOff>36635</xdr:colOff>
      <xdr:row>20</xdr:row>
      <xdr:rowOff>73137</xdr:rowOff>
    </xdr:to>
    <xdr:cxnSp macro="">
      <xdr:nvCxnSpPr>
        <xdr:cNvPr id="141" name="Прямая со стрелкой 140">
          <a:extLst>
            <a:ext uri="{FF2B5EF4-FFF2-40B4-BE49-F238E27FC236}">
              <a16:creationId xmlns:a16="http://schemas.microsoft.com/office/drawing/2014/main" id="{315CC5FC-6070-4E54-86EC-C858E33F2B4D}"/>
            </a:ext>
          </a:extLst>
        </xdr:cNvPr>
        <xdr:cNvCxnSpPr/>
      </xdr:nvCxnSpPr>
      <xdr:spPr>
        <a:xfrm flipH="1">
          <a:off x="2490354" y="4125058"/>
          <a:ext cx="462396" cy="146406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467158</xdr:colOff>
      <xdr:row>24</xdr:row>
      <xdr:rowOff>111703</xdr:rowOff>
    </xdr:from>
    <xdr:to>
      <xdr:col>2</xdr:col>
      <xdr:colOff>242022</xdr:colOff>
      <xdr:row>25</xdr:row>
      <xdr:rowOff>42429</xdr:rowOff>
    </xdr:to>
    <xdr:cxnSp macro="">
      <xdr:nvCxnSpPr>
        <xdr:cNvPr id="5" name="Прямая соединительная линия 4">
          <a:extLst>
            <a:ext uri="{FF2B5EF4-FFF2-40B4-BE49-F238E27FC236}">
              <a16:creationId xmlns:a16="http://schemas.microsoft.com/office/drawing/2014/main" id="{C864171B-3A21-4800-B389-E1ED0CC55468}"/>
            </a:ext>
          </a:extLst>
        </xdr:cNvPr>
        <xdr:cNvCxnSpPr/>
      </xdr:nvCxnSpPr>
      <xdr:spPr>
        <a:xfrm>
          <a:off x="1076758" y="5036128"/>
          <a:ext cx="384464" cy="12122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21</xdr:row>
      <xdr:rowOff>181841</xdr:rowOff>
    </xdr:from>
    <xdr:to>
      <xdr:col>5</xdr:col>
      <xdr:colOff>147204</xdr:colOff>
      <xdr:row>24</xdr:row>
      <xdr:rowOff>180975</xdr:rowOff>
    </xdr:to>
    <xdr:cxnSp macro="">
      <xdr:nvCxnSpPr>
        <xdr:cNvPr id="6" name="Прямая со стрелкой 5">
          <a:extLst>
            <a:ext uri="{FF2B5EF4-FFF2-40B4-BE49-F238E27FC236}">
              <a16:creationId xmlns:a16="http://schemas.microsoft.com/office/drawing/2014/main" id="{52B23C4D-BCAF-4424-BD8F-D6F4FC605CFC}"/>
            </a:ext>
          </a:extLst>
        </xdr:cNvPr>
        <xdr:cNvCxnSpPr/>
      </xdr:nvCxnSpPr>
      <xdr:spPr>
        <a:xfrm flipV="1">
          <a:off x="1362075" y="4534766"/>
          <a:ext cx="1709304" cy="570634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22</xdr:row>
      <xdr:rowOff>99643</xdr:rowOff>
    </xdr:from>
    <xdr:to>
      <xdr:col>0</xdr:col>
      <xdr:colOff>270488</xdr:colOff>
      <xdr:row>23</xdr:row>
      <xdr:rowOff>33121</xdr:rowOff>
    </xdr:to>
    <xdr:cxnSp macro="">
      <xdr:nvCxnSpPr>
        <xdr:cNvPr id="15" name="Прямая соединительная линия 14">
          <a:extLst>
            <a:ext uri="{FF2B5EF4-FFF2-40B4-BE49-F238E27FC236}">
              <a16:creationId xmlns:a16="http://schemas.microsoft.com/office/drawing/2014/main" id="{7EBF5F1C-F544-44B6-BAB3-94C60C792C92}"/>
            </a:ext>
          </a:extLst>
        </xdr:cNvPr>
        <xdr:cNvCxnSpPr/>
      </xdr:nvCxnSpPr>
      <xdr:spPr>
        <a:xfrm>
          <a:off x="38100" y="4643068"/>
          <a:ext cx="232388" cy="12397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286062</xdr:colOff>
      <xdr:row>19</xdr:row>
      <xdr:rowOff>35718</xdr:rowOff>
    </xdr:from>
    <xdr:to>
      <xdr:col>3</xdr:col>
      <xdr:colOff>327422</xdr:colOff>
      <xdr:row>20</xdr:row>
      <xdr:rowOff>73526</xdr:rowOff>
    </xdr:to>
    <xdr:cxnSp macro="">
      <xdr:nvCxnSpPr>
        <xdr:cNvPr id="17" name="Прямая соединительная линия 16">
          <a:extLst>
            <a:ext uri="{FF2B5EF4-FFF2-40B4-BE49-F238E27FC236}">
              <a16:creationId xmlns:a16="http://schemas.microsoft.com/office/drawing/2014/main" id="{084BA07F-5599-4C84-94A0-01ECCC40CBCC}"/>
            </a:ext>
          </a:extLst>
        </xdr:cNvPr>
        <xdr:cNvCxnSpPr/>
      </xdr:nvCxnSpPr>
      <xdr:spPr>
        <a:xfrm flipV="1">
          <a:off x="1500500" y="4012406"/>
          <a:ext cx="648578" cy="228308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148316</xdr:colOff>
      <xdr:row>21</xdr:row>
      <xdr:rowOff>93784</xdr:rowOff>
    </xdr:from>
    <xdr:to>
      <xdr:col>5</xdr:col>
      <xdr:colOff>181709</xdr:colOff>
      <xdr:row>22</xdr:row>
      <xdr:rowOff>69496</xdr:rowOff>
    </xdr:to>
    <xdr:cxnSp macro="">
      <xdr:nvCxnSpPr>
        <xdr:cNvPr id="20" name="Прямая соединительная линия 19">
          <a:extLst>
            <a:ext uri="{FF2B5EF4-FFF2-40B4-BE49-F238E27FC236}">
              <a16:creationId xmlns:a16="http://schemas.microsoft.com/office/drawing/2014/main" id="{B7BACA9C-5E74-4781-904E-5E37A683AADA}"/>
            </a:ext>
          </a:extLst>
        </xdr:cNvPr>
        <xdr:cNvCxnSpPr/>
      </xdr:nvCxnSpPr>
      <xdr:spPr>
        <a:xfrm flipV="1">
          <a:off x="2580854" y="4482611"/>
          <a:ext cx="516970" cy="166212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288513</xdr:colOff>
      <xdr:row>21</xdr:row>
      <xdr:rowOff>12973</xdr:rowOff>
    </xdr:from>
    <xdr:to>
      <xdr:col>4</xdr:col>
      <xdr:colOff>86737</xdr:colOff>
      <xdr:row>21</xdr:row>
      <xdr:rowOff>143967</xdr:rowOff>
    </xdr:to>
    <xdr:sp macro="" textlink="">
      <xdr:nvSpPr>
        <xdr:cNvPr id="38" name="Прямоугольник 36">
          <a:extLst>
            <a:ext uri="{FF2B5EF4-FFF2-40B4-BE49-F238E27FC236}">
              <a16:creationId xmlns:a16="http://schemas.microsoft.com/office/drawing/2014/main" id="{ADEFE708-6913-4B05-9823-EF48A4A38D7A}"/>
            </a:ext>
          </a:extLst>
        </xdr:cNvPr>
        <xdr:cNvSpPr/>
      </xdr:nvSpPr>
      <xdr:spPr>
        <a:xfrm rot="1060094">
          <a:off x="1507713" y="4365898"/>
          <a:ext cx="1017424" cy="130994"/>
        </a:xfrm>
        <a:custGeom>
          <a:avLst/>
          <a:gdLst>
            <a:gd name="connsiteX0" fmla="*/ 0 w 1012649"/>
            <a:gd name="connsiteY0" fmla="*/ 0 h 224442"/>
            <a:gd name="connsiteX1" fmla="*/ 1012649 w 1012649"/>
            <a:gd name="connsiteY1" fmla="*/ 0 h 224442"/>
            <a:gd name="connsiteX2" fmla="*/ 1012649 w 1012649"/>
            <a:gd name="connsiteY2" fmla="*/ 224442 h 224442"/>
            <a:gd name="connsiteX3" fmla="*/ 0 w 1012649"/>
            <a:gd name="connsiteY3" fmla="*/ 224442 h 224442"/>
            <a:gd name="connsiteX4" fmla="*/ 0 w 1012649"/>
            <a:gd name="connsiteY4" fmla="*/ 0 h 224442"/>
            <a:gd name="connsiteX0" fmla="*/ 0 w 1012649"/>
            <a:gd name="connsiteY0" fmla="*/ 0 h 245829"/>
            <a:gd name="connsiteX1" fmla="*/ 1012649 w 1012649"/>
            <a:gd name="connsiteY1" fmla="*/ 0 h 245829"/>
            <a:gd name="connsiteX2" fmla="*/ 1012649 w 1012649"/>
            <a:gd name="connsiteY2" fmla="*/ 224442 h 245829"/>
            <a:gd name="connsiteX3" fmla="*/ 136091 w 1012649"/>
            <a:gd name="connsiteY3" fmla="*/ 245829 h 245829"/>
            <a:gd name="connsiteX4" fmla="*/ 0 w 1012649"/>
            <a:gd name="connsiteY4" fmla="*/ 0 h 245829"/>
            <a:gd name="connsiteX0" fmla="*/ 0 w 1192768"/>
            <a:gd name="connsiteY0" fmla="*/ 0 h 245829"/>
            <a:gd name="connsiteX1" fmla="*/ 1192768 w 1192768"/>
            <a:gd name="connsiteY1" fmla="*/ 33407 h 245829"/>
            <a:gd name="connsiteX2" fmla="*/ 1012649 w 1192768"/>
            <a:gd name="connsiteY2" fmla="*/ 224442 h 245829"/>
            <a:gd name="connsiteX3" fmla="*/ 136091 w 1192768"/>
            <a:gd name="connsiteY3" fmla="*/ 245829 h 245829"/>
            <a:gd name="connsiteX4" fmla="*/ 0 w 1192768"/>
            <a:gd name="connsiteY4" fmla="*/ 0 h 245829"/>
            <a:gd name="connsiteX0" fmla="*/ 75795 w 1056677"/>
            <a:gd name="connsiteY0" fmla="*/ 0 h 247905"/>
            <a:gd name="connsiteX1" fmla="*/ 1056677 w 1056677"/>
            <a:gd name="connsiteY1" fmla="*/ 35483 h 247905"/>
            <a:gd name="connsiteX2" fmla="*/ 876558 w 1056677"/>
            <a:gd name="connsiteY2" fmla="*/ 226518 h 247905"/>
            <a:gd name="connsiteX3" fmla="*/ 0 w 1056677"/>
            <a:gd name="connsiteY3" fmla="*/ 247905 h 247905"/>
            <a:gd name="connsiteX4" fmla="*/ 75795 w 1056677"/>
            <a:gd name="connsiteY4" fmla="*/ 0 h 247905"/>
            <a:gd name="connsiteX0" fmla="*/ 196679 w 1056677"/>
            <a:gd name="connsiteY0" fmla="*/ 0 h 240132"/>
            <a:gd name="connsiteX1" fmla="*/ 1056677 w 1056677"/>
            <a:gd name="connsiteY1" fmla="*/ 27710 h 240132"/>
            <a:gd name="connsiteX2" fmla="*/ 876558 w 1056677"/>
            <a:gd name="connsiteY2" fmla="*/ 218745 h 240132"/>
            <a:gd name="connsiteX3" fmla="*/ 0 w 1056677"/>
            <a:gd name="connsiteY3" fmla="*/ 240132 h 240132"/>
            <a:gd name="connsiteX4" fmla="*/ 196679 w 1056677"/>
            <a:gd name="connsiteY4" fmla="*/ 0 h 240132"/>
            <a:gd name="connsiteX0" fmla="*/ 57642 w 1056677"/>
            <a:gd name="connsiteY0" fmla="*/ 0 h 227628"/>
            <a:gd name="connsiteX1" fmla="*/ 1056677 w 1056677"/>
            <a:gd name="connsiteY1" fmla="*/ 15206 h 227628"/>
            <a:gd name="connsiteX2" fmla="*/ 876558 w 1056677"/>
            <a:gd name="connsiteY2" fmla="*/ 206241 h 227628"/>
            <a:gd name="connsiteX3" fmla="*/ 0 w 1056677"/>
            <a:gd name="connsiteY3" fmla="*/ 227628 h 227628"/>
            <a:gd name="connsiteX4" fmla="*/ 57642 w 1056677"/>
            <a:gd name="connsiteY4" fmla="*/ 0 h 227628"/>
            <a:gd name="connsiteX0" fmla="*/ 57642 w 881337"/>
            <a:gd name="connsiteY0" fmla="*/ 0 h 227628"/>
            <a:gd name="connsiteX1" fmla="*/ 881337 w 881337"/>
            <a:gd name="connsiteY1" fmla="*/ 68262 h 227628"/>
            <a:gd name="connsiteX2" fmla="*/ 876558 w 881337"/>
            <a:gd name="connsiteY2" fmla="*/ 206241 h 227628"/>
            <a:gd name="connsiteX3" fmla="*/ 0 w 881337"/>
            <a:gd name="connsiteY3" fmla="*/ 227628 h 227628"/>
            <a:gd name="connsiteX4" fmla="*/ 57642 w 881337"/>
            <a:gd name="connsiteY4" fmla="*/ 0 h 227628"/>
            <a:gd name="connsiteX0" fmla="*/ 32538 w 881337"/>
            <a:gd name="connsiteY0" fmla="*/ 581 h 159366"/>
            <a:gd name="connsiteX1" fmla="*/ 881337 w 881337"/>
            <a:gd name="connsiteY1" fmla="*/ 0 h 159366"/>
            <a:gd name="connsiteX2" fmla="*/ 876558 w 881337"/>
            <a:gd name="connsiteY2" fmla="*/ 137979 h 159366"/>
            <a:gd name="connsiteX3" fmla="*/ 0 w 881337"/>
            <a:gd name="connsiteY3" fmla="*/ 159366 h 159366"/>
            <a:gd name="connsiteX4" fmla="*/ 32538 w 881337"/>
            <a:gd name="connsiteY4" fmla="*/ 581 h 159366"/>
            <a:gd name="connsiteX0" fmla="*/ 200911 w 1049710"/>
            <a:gd name="connsiteY0" fmla="*/ 581 h 137979"/>
            <a:gd name="connsiteX1" fmla="*/ 1049710 w 1049710"/>
            <a:gd name="connsiteY1" fmla="*/ 0 h 137979"/>
            <a:gd name="connsiteX2" fmla="*/ 1044931 w 1049710"/>
            <a:gd name="connsiteY2" fmla="*/ 137979 h 137979"/>
            <a:gd name="connsiteX3" fmla="*/ 0 w 1049710"/>
            <a:gd name="connsiteY3" fmla="*/ 108723 h 137979"/>
            <a:gd name="connsiteX4" fmla="*/ 200911 w 1049710"/>
            <a:gd name="connsiteY4" fmla="*/ 581 h 137979"/>
            <a:gd name="connsiteX0" fmla="*/ 200911 w 1049710"/>
            <a:gd name="connsiteY0" fmla="*/ 581 h 121540"/>
            <a:gd name="connsiteX1" fmla="*/ 1049710 w 1049710"/>
            <a:gd name="connsiteY1" fmla="*/ 0 h 121540"/>
            <a:gd name="connsiteX2" fmla="*/ 809169 w 1049710"/>
            <a:gd name="connsiteY2" fmla="*/ 121540 h 121540"/>
            <a:gd name="connsiteX3" fmla="*/ 0 w 1049710"/>
            <a:gd name="connsiteY3" fmla="*/ 108723 h 121540"/>
            <a:gd name="connsiteX4" fmla="*/ 200911 w 1049710"/>
            <a:gd name="connsiteY4" fmla="*/ 581 h 121540"/>
            <a:gd name="connsiteX0" fmla="*/ 200911 w 991764"/>
            <a:gd name="connsiteY0" fmla="*/ 0 h 120959"/>
            <a:gd name="connsiteX1" fmla="*/ 991764 w 991764"/>
            <a:gd name="connsiteY1" fmla="*/ 2302 h 120959"/>
            <a:gd name="connsiteX2" fmla="*/ 809169 w 991764"/>
            <a:gd name="connsiteY2" fmla="*/ 120959 h 120959"/>
            <a:gd name="connsiteX3" fmla="*/ 0 w 991764"/>
            <a:gd name="connsiteY3" fmla="*/ 108142 h 120959"/>
            <a:gd name="connsiteX4" fmla="*/ 200911 w 991764"/>
            <a:gd name="connsiteY4" fmla="*/ 0 h 120959"/>
            <a:gd name="connsiteX0" fmla="*/ 200911 w 991764"/>
            <a:gd name="connsiteY0" fmla="*/ 0 h 108142"/>
            <a:gd name="connsiteX1" fmla="*/ 991764 w 991764"/>
            <a:gd name="connsiteY1" fmla="*/ 2302 h 108142"/>
            <a:gd name="connsiteX2" fmla="*/ 796050 w 991764"/>
            <a:gd name="connsiteY2" fmla="*/ 106856 h 108142"/>
            <a:gd name="connsiteX3" fmla="*/ 0 w 991764"/>
            <a:gd name="connsiteY3" fmla="*/ 108142 h 108142"/>
            <a:gd name="connsiteX4" fmla="*/ 200911 w 991764"/>
            <a:gd name="connsiteY4" fmla="*/ 0 h 108142"/>
            <a:gd name="connsiteX0" fmla="*/ 200911 w 991764"/>
            <a:gd name="connsiteY0" fmla="*/ 0 h 109611"/>
            <a:gd name="connsiteX1" fmla="*/ 991764 w 991764"/>
            <a:gd name="connsiteY1" fmla="*/ 2302 h 109611"/>
            <a:gd name="connsiteX2" fmla="*/ 796050 w 991764"/>
            <a:gd name="connsiteY2" fmla="*/ 106856 h 109611"/>
            <a:gd name="connsiteX3" fmla="*/ 363356 w 991764"/>
            <a:gd name="connsiteY3" fmla="*/ 109168 h 109611"/>
            <a:gd name="connsiteX4" fmla="*/ 0 w 991764"/>
            <a:gd name="connsiteY4" fmla="*/ 108142 h 109611"/>
            <a:gd name="connsiteX5" fmla="*/ 200911 w 991764"/>
            <a:gd name="connsiteY5" fmla="*/ 0 h 109611"/>
            <a:gd name="connsiteX0" fmla="*/ 160360 w 951213"/>
            <a:gd name="connsiteY0" fmla="*/ 0 h 109611"/>
            <a:gd name="connsiteX1" fmla="*/ 951213 w 951213"/>
            <a:gd name="connsiteY1" fmla="*/ 2302 h 109611"/>
            <a:gd name="connsiteX2" fmla="*/ 755499 w 951213"/>
            <a:gd name="connsiteY2" fmla="*/ 106856 h 109611"/>
            <a:gd name="connsiteX3" fmla="*/ 322805 w 951213"/>
            <a:gd name="connsiteY3" fmla="*/ 109168 h 109611"/>
            <a:gd name="connsiteX4" fmla="*/ 0 w 951213"/>
            <a:gd name="connsiteY4" fmla="*/ 80637 h 109611"/>
            <a:gd name="connsiteX5" fmla="*/ 160360 w 951213"/>
            <a:gd name="connsiteY5" fmla="*/ 0 h 109611"/>
            <a:gd name="connsiteX0" fmla="*/ 160360 w 951213"/>
            <a:gd name="connsiteY0" fmla="*/ 0 h 109278"/>
            <a:gd name="connsiteX1" fmla="*/ 951213 w 951213"/>
            <a:gd name="connsiteY1" fmla="*/ 2302 h 109278"/>
            <a:gd name="connsiteX2" fmla="*/ 782632 w 951213"/>
            <a:gd name="connsiteY2" fmla="*/ 82702 h 109278"/>
            <a:gd name="connsiteX3" fmla="*/ 322805 w 951213"/>
            <a:gd name="connsiteY3" fmla="*/ 109168 h 109278"/>
            <a:gd name="connsiteX4" fmla="*/ 0 w 951213"/>
            <a:gd name="connsiteY4" fmla="*/ 80637 h 109278"/>
            <a:gd name="connsiteX5" fmla="*/ 160360 w 951213"/>
            <a:gd name="connsiteY5" fmla="*/ 0 h 109278"/>
            <a:gd name="connsiteX0" fmla="*/ 160360 w 951213"/>
            <a:gd name="connsiteY0" fmla="*/ 0 h 83902"/>
            <a:gd name="connsiteX1" fmla="*/ 951213 w 951213"/>
            <a:gd name="connsiteY1" fmla="*/ 2302 h 83902"/>
            <a:gd name="connsiteX2" fmla="*/ 782632 w 951213"/>
            <a:gd name="connsiteY2" fmla="*/ 82702 h 83902"/>
            <a:gd name="connsiteX3" fmla="*/ 356649 w 951213"/>
            <a:gd name="connsiteY3" fmla="*/ 83339 h 83902"/>
            <a:gd name="connsiteX4" fmla="*/ 0 w 951213"/>
            <a:gd name="connsiteY4" fmla="*/ 80637 h 83902"/>
            <a:gd name="connsiteX5" fmla="*/ 160360 w 951213"/>
            <a:gd name="connsiteY5" fmla="*/ 0 h 839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951213" h="83902">
              <a:moveTo>
                <a:pt x="160360" y="0"/>
              </a:moveTo>
              <a:lnTo>
                <a:pt x="951213" y="2302"/>
              </a:lnTo>
              <a:lnTo>
                <a:pt x="782632" y="82702"/>
              </a:lnTo>
              <a:cubicBezTo>
                <a:pt x="634740" y="80525"/>
                <a:pt x="504541" y="85516"/>
                <a:pt x="356649" y="83339"/>
              </a:cubicBezTo>
              <a:lnTo>
                <a:pt x="0" y="80637"/>
              </a:lnTo>
              <a:lnTo>
                <a:pt x="160360" y="0"/>
              </a:lnTo>
              <a:close/>
            </a:path>
          </a:pathLst>
        </a:cu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4</xdr:col>
      <xdr:colOff>20410</xdr:colOff>
      <xdr:row>21</xdr:row>
      <xdr:rowOff>149678</xdr:rowOff>
    </xdr:from>
    <xdr:to>
      <xdr:col>5</xdr:col>
      <xdr:colOff>231322</xdr:colOff>
      <xdr:row>23</xdr:row>
      <xdr:rowOff>47625</xdr:rowOff>
    </xdr:to>
    <xdr:cxnSp macro="">
      <xdr:nvCxnSpPr>
        <xdr:cNvPr id="44" name="Прямая соединительная линия 43">
          <a:extLst>
            <a:ext uri="{FF2B5EF4-FFF2-40B4-BE49-F238E27FC236}">
              <a16:creationId xmlns:a16="http://schemas.microsoft.com/office/drawing/2014/main" id="{90419974-D22C-47D5-A531-6F802E006490}"/>
            </a:ext>
          </a:extLst>
        </xdr:cNvPr>
        <xdr:cNvCxnSpPr/>
      </xdr:nvCxnSpPr>
      <xdr:spPr>
        <a:xfrm>
          <a:off x="2469696" y="4510767"/>
          <a:ext cx="693965" cy="278947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169718</xdr:colOff>
      <xdr:row>22</xdr:row>
      <xdr:rowOff>119620</xdr:rowOff>
    </xdr:from>
    <xdr:to>
      <xdr:col>6</xdr:col>
      <xdr:colOff>163286</xdr:colOff>
      <xdr:row>24</xdr:row>
      <xdr:rowOff>20411</xdr:rowOff>
    </xdr:to>
    <xdr:cxnSp macro="">
      <xdr:nvCxnSpPr>
        <xdr:cNvPr id="48" name="Прямая со стрелкой 47">
          <a:extLst>
            <a:ext uri="{FF2B5EF4-FFF2-40B4-BE49-F238E27FC236}">
              <a16:creationId xmlns:a16="http://schemas.microsoft.com/office/drawing/2014/main" id="{C1670604-06DA-4C9E-AD62-457EA0734140}"/>
            </a:ext>
          </a:extLst>
        </xdr:cNvPr>
        <xdr:cNvCxnSpPr/>
      </xdr:nvCxnSpPr>
      <xdr:spPr>
        <a:xfrm flipH="1" flipV="1">
          <a:off x="3102057" y="4671209"/>
          <a:ext cx="476622" cy="28179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431389</xdr:colOff>
      <xdr:row>21</xdr:row>
      <xdr:rowOff>155851</xdr:rowOff>
    </xdr:from>
    <xdr:to>
      <xdr:col>3</xdr:col>
      <xdr:colOff>229613</xdr:colOff>
      <xdr:row>22</xdr:row>
      <xdr:rowOff>96345</xdr:rowOff>
    </xdr:to>
    <xdr:sp macro="" textlink="">
      <xdr:nvSpPr>
        <xdr:cNvPr id="53" name="Прямоугольник 36">
          <a:extLst>
            <a:ext uri="{FF2B5EF4-FFF2-40B4-BE49-F238E27FC236}">
              <a16:creationId xmlns:a16="http://schemas.microsoft.com/office/drawing/2014/main" id="{689979C2-E47B-4C29-AE59-B33D618BFF09}"/>
            </a:ext>
          </a:extLst>
        </xdr:cNvPr>
        <xdr:cNvSpPr/>
      </xdr:nvSpPr>
      <xdr:spPr>
        <a:xfrm rot="1060094">
          <a:off x="1040989" y="4508776"/>
          <a:ext cx="1017424" cy="130994"/>
        </a:xfrm>
        <a:custGeom>
          <a:avLst/>
          <a:gdLst>
            <a:gd name="connsiteX0" fmla="*/ 0 w 1012649"/>
            <a:gd name="connsiteY0" fmla="*/ 0 h 224442"/>
            <a:gd name="connsiteX1" fmla="*/ 1012649 w 1012649"/>
            <a:gd name="connsiteY1" fmla="*/ 0 h 224442"/>
            <a:gd name="connsiteX2" fmla="*/ 1012649 w 1012649"/>
            <a:gd name="connsiteY2" fmla="*/ 224442 h 224442"/>
            <a:gd name="connsiteX3" fmla="*/ 0 w 1012649"/>
            <a:gd name="connsiteY3" fmla="*/ 224442 h 224442"/>
            <a:gd name="connsiteX4" fmla="*/ 0 w 1012649"/>
            <a:gd name="connsiteY4" fmla="*/ 0 h 224442"/>
            <a:gd name="connsiteX0" fmla="*/ 0 w 1012649"/>
            <a:gd name="connsiteY0" fmla="*/ 0 h 245829"/>
            <a:gd name="connsiteX1" fmla="*/ 1012649 w 1012649"/>
            <a:gd name="connsiteY1" fmla="*/ 0 h 245829"/>
            <a:gd name="connsiteX2" fmla="*/ 1012649 w 1012649"/>
            <a:gd name="connsiteY2" fmla="*/ 224442 h 245829"/>
            <a:gd name="connsiteX3" fmla="*/ 136091 w 1012649"/>
            <a:gd name="connsiteY3" fmla="*/ 245829 h 245829"/>
            <a:gd name="connsiteX4" fmla="*/ 0 w 1012649"/>
            <a:gd name="connsiteY4" fmla="*/ 0 h 245829"/>
            <a:gd name="connsiteX0" fmla="*/ 0 w 1192768"/>
            <a:gd name="connsiteY0" fmla="*/ 0 h 245829"/>
            <a:gd name="connsiteX1" fmla="*/ 1192768 w 1192768"/>
            <a:gd name="connsiteY1" fmla="*/ 33407 h 245829"/>
            <a:gd name="connsiteX2" fmla="*/ 1012649 w 1192768"/>
            <a:gd name="connsiteY2" fmla="*/ 224442 h 245829"/>
            <a:gd name="connsiteX3" fmla="*/ 136091 w 1192768"/>
            <a:gd name="connsiteY3" fmla="*/ 245829 h 245829"/>
            <a:gd name="connsiteX4" fmla="*/ 0 w 1192768"/>
            <a:gd name="connsiteY4" fmla="*/ 0 h 245829"/>
            <a:gd name="connsiteX0" fmla="*/ 75795 w 1056677"/>
            <a:gd name="connsiteY0" fmla="*/ 0 h 247905"/>
            <a:gd name="connsiteX1" fmla="*/ 1056677 w 1056677"/>
            <a:gd name="connsiteY1" fmla="*/ 35483 h 247905"/>
            <a:gd name="connsiteX2" fmla="*/ 876558 w 1056677"/>
            <a:gd name="connsiteY2" fmla="*/ 226518 h 247905"/>
            <a:gd name="connsiteX3" fmla="*/ 0 w 1056677"/>
            <a:gd name="connsiteY3" fmla="*/ 247905 h 247905"/>
            <a:gd name="connsiteX4" fmla="*/ 75795 w 1056677"/>
            <a:gd name="connsiteY4" fmla="*/ 0 h 247905"/>
            <a:gd name="connsiteX0" fmla="*/ 196679 w 1056677"/>
            <a:gd name="connsiteY0" fmla="*/ 0 h 240132"/>
            <a:gd name="connsiteX1" fmla="*/ 1056677 w 1056677"/>
            <a:gd name="connsiteY1" fmla="*/ 27710 h 240132"/>
            <a:gd name="connsiteX2" fmla="*/ 876558 w 1056677"/>
            <a:gd name="connsiteY2" fmla="*/ 218745 h 240132"/>
            <a:gd name="connsiteX3" fmla="*/ 0 w 1056677"/>
            <a:gd name="connsiteY3" fmla="*/ 240132 h 240132"/>
            <a:gd name="connsiteX4" fmla="*/ 196679 w 1056677"/>
            <a:gd name="connsiteY4" fmla="*/ 0 h 240132"/>
            <a:gd name="connsiteX0" fmla="*/ 57642 w 1056677"/>
            <a:gd name="connsiteY0" fmla="*/ 0 h 227628"/>
            <a:gd name="connsiteX1" fmla="*/ 1056677 w 1056677"/>
            <a:gd name="connsiteY1" fmla="*/ 15206 h 227628"/>
            <a:gd name="connsiteX2" fmla="*/ 876558 w 1056677"/>
            <a:gd name="connsiteY2" fmla="*/ 206241 h 227628"/>
            <a:gd name="connsiteX3" fmla="*/ 0 w 1056677"/>
            <a:gd name="connsiteY3" fmla="*/ 227628 h 227628"/>
            <a:gd name="connsiteX4" fmla="*/ 57642 w 1056677"/>
            <a:gd name="connsiteY4" fmla="*/ 0 h 227628"/>
            <a:gd name="connsiteX0" fmla="*/ 57642 w 881337"/>
            <a:gd name="connsiteY0" fmla="*/ 0 h 227628"/>
            <a:gd name="connsiteX1" fmla="*/ 881337 w 881337"/>
            <a:gd name="connsiteY1" fmla="*/ 68262 h 227628"/>
            <a:gd name="connsiteX2" fmla="*/ 876558 w 881337"/>
            <a:gd name="connsiteY2" fmla="*/ 206241 h 227628"/>
            <a:gd name="connsiteX3" fmla="*/ 0 w 881337"/>
            <a:gd name="connsiteY3" fmla="*/ 227628 h 227628"/>
            <a:gd name="connsiteX4" fmla="*/ 57642 w 881337"/>
            <a:gd name="connsiteY4" fmla="*/ 0 h 227628"/>
            <a:gd name="connsiteX0" fmla="*/ 32538 w 881337"/>
            <a:gd name="connsiteY0" fmla="*/ 581 h 159366"/>
            <a:gd name="connsiteX1" fmla="*/ 881337 w 881337"/>
            <a:gd name="connsiteY1" fmla="*/ 0 h 159366"/>
            <a:gd name="connsiteX2" fmla="*/ 876558 w 881337"/>
            <a:gd name="connsiteY2" fmla="*/ 137979 h 159366"/>
            <a:gd name="connsiteX3" fmla="*/ 0 w 881337"/>
            <a:gd name="connsiteY3" fmla="*/ 159366 h 159366"/>
            <a:gd name="connsiteX4" fmla="*/ 32538 w 881337"/>
            <a:gd name="connsiteY4" fmla="*/ 581 h 159366"/>
            <a:gd name="connsiteX0" fmla="*/ 200911 w 1049710"/>
            <a:gd name="connsiteY0" fmla="*/ 581 h 137979"/>
            <a:gd name="connsiteX1" fmla="*/ 1049710 w 1049710"/>
            <a:gd name="connsiteY1" fmla="*/ 0 h 137979"/>
            <a:gd name="connsiteX2" fmla="*/ 1044931 w 1049710"/>
            <a:gd name="connsiteY2" fmla="*/ 137979 h 137979"/>
            <a:gd name="connsiteX3" fmla="*/ 0 w 1049710"/>
            <a:gd name="connsiteY3" fmla="*/ 108723 h 137979"/>
            <a:gd name="connsiteX4" fmla="*/ 200911 w 1049710"/>
            <a:gd name="connsiteY4" fmla="*/ 581 h 137979"/>
            <a:gd name="connsiteX0" fmla="*/ 200911 w 1049710"/>
            <a:gd name="connsiteY0" fmla="*/ 581 h 121540"/>
            <a:gd name="connsiteX1" fmla="*/ 1049710 w 1049710"/>
            <a:gd name="connsiteY1" fmla="*/ 0 h 121540"/>
            <a:gd name="connsiteX2" fmla="*/ 809169 w 1049710"/>
            <a:gd name="connsiteY2" fmla="*/ 121540 h 121540"/>
            <a:gd name="connsiteX3" fmla="*/ 0 w 1049710"/>
            <a:gd name="connsiteY3" fmla="*/ 108723 h 121540"/>
            <a:gd name="connsiteX4" fmla="*/ 200911 w 1049710"/>
            <a:gd name="connsiteY4" fmla="*/ 581 h 121540"/>
            <a:gd name="connsiteX0" fmla="*/ 200911 w 991764"/>
            <a:gd name="connsiteY0" fmla="*/ 0 h 120959"/>
            <a:gd name="connsiteX1" fmla="*/ 991764 w 991764"/>
            <a:gd name="connsiteY1" fmla="*/ 2302 h 120959"/>
            <a:gd name="connsiteX2" fmla="*/ 809169 w 991764"/>
            <a:gd name="connsiteY2" fmla="*/ 120959 h 120959"/>
            <a:gd name="connsiteX3" fmla="*/ 0 w 991764"/>
            <a:gd name="connsiteY3" fmla="*/ 108142 h 120959"/>
            <a:gd name="connsiteX4" fmla="*/ 200911 w 991764"/>
            <a:gd name="connsiteY4" fmla="*/ 0 h 120959"/>
            <a:gd name="connsiteX0" fmla="*/ 200911 w 991764"/>
            <a:gd name="connsiteY0" fmla="*/ 0 h 108142"/>
            <a:gd name="connsiteX1" fmla="*/ 991764 w 991764"/>
            <a:gd name="connsiteY1" fmla="*/ 2302 h 108142"/>
            <a:gd name="connsiteX2" fmla="*/ 796050 w 991764"/>
            <a:gd name="connsiteY2" fmla="*/ 106856 h 108142"/>
            <a:gd name="connsiteX3" fmla="*/ 0 w 991764"/>
            <a:gd name="connsiteY3" fmla="*/ 108142 h 108142"/>
            <a:gd name="connsiteX4" fmla="*/ 200911 w 991764"/>
            <a:gd name="connsiteY4" fmla="*/ 0 h 108142"/>
            <a:gd name="connsiteX0" fmla="*/ 200911 w 991764"/>
            <a:gd name="connsiteY0" fmla="*/ 0 h 109611"/>
            <a:gd name="connsiteX1" fmla="*/ 991764 w 991764"/>
            <a:gd name="connsiteY1" fmla="*/ 2302 h 109611"/>
            <a:gd name="connsiteX2" fmla="*/ 796050 w 991764"/>
            <a:gd name="connsiteY2" fmla="*/ 106856 h 109611"/>
            <a:gd name="connsiteX3" fmla="*/ 363356 w 991764"/>
            <a:gd name="connsiteY3" fmla="*/ 109168 h 109611"/>
            <a:gd name="connsiteX4" fmla="*/ 0 w 991764"/>
            <a:gd name="connsiteY4" fmla="*/ 108142 h 109611"/>
            <a:gd name="connsiteX5" fmla="*/ 200911 w 991764"/>
            <a:gd name="connsiteY5" fmla="*/ 0 h 109611"/>
            <a:gd name="connsiteX0" fmla="*/ 160360 w 951213"/>
            <a:gd name="connsiteY0" fmla="*/ 0 h 109611"/>
            <a:gd name="connsiteX1" fmla="*/ 951213 w 951213"/>
            <a:gd name="connsiteY1" fmla="*/ 2302 h 109611"/>
            <a:gd name="connsiteX2" fmla="*/ 755499 w 951213"/>
            <a:gd name="connsiteY2" fmla="*/ 106856 h 109611"/>
            <a:gd name="connsiteX3" fmla="*/ 322805 w 951213"/>
            <a:gd name="connsiteY3" fmla="*/ 109168 h 109611"/>
            <a:gd name="connsiteX4" fmla="*/ 0 w 951213"/>
            <a:gd name="connsiteY4" fmla="*/ 80637 h 109611"/>
            <a:gd name="connsiteX5" fmla="*/ 160360 w 951213"/>
            <a:gd name="connsiteY5" fmla="*/ 0 h 109611"/>
            <a:gd name="connsiteX0" fmla="*/ 160360 w 951213"/>
            <a:gd name="connsiteY0" fmla="*/ 0 h 109278"/>
            <a:gd name="connsiteX1" fmla="*/ 951213 w 951213"/>
            <a:gd name="connsiteY1" fmla="*/ 2302 h 109278"/>
            <a:gd name="connsiteX2" fmla="*/ 782632 w 951213"/>
            <a:gd name="connsiteY2" fmla="*/ 82702 h 109278"/>
            <a:gd name="connsiteX3" fmla="*/ 322805 w 951213"/>
            <a:gd name="connsiteY3" fmla="*/ 109168 h 109278"/>
            <a:gd name="connsiteX4" fmla="*/ 0 w 951213"/>
            <a:gd name="connsiteY4" fmla="*/ 80637 h 109278"/>
            <a:gd name="connsiteX5" fmla="*/ 160360 w 951213"/>
            <a:gd name="connsiteY5" fmla="*/ 0 h 109278"/>
            <a:gd name="connsiteX0" fmla="*/ 160360 w 951213"/>
            <a:gd name="connsiteY0" fmla="*/ 0 h 83902"/>
            <a:gd name="connsiteX1" fmla="*/ 951213 w 951213"/>
            <a:gd name="connsiteY1" fmla="*/ 2302 h 83902"/>
            <a:gd name="connsiteX2" fmla="*/ 782632 w 951213"/>
            <a:gd name="connsiteY2" fmla="*/ 82702 h 83902"/>
            <a:gd name="connsiteX3" fmla="*/ 356649 w 951213"/>
            <a:gd name="connsiteY3" fmla="*/ 83339 h 83902"/>
            <a:gd name="connsiteX4" fmla="*/ 0 w 951213"/>
            <a:gd name="connsiteY4" fmla="*/ 80637 h 83902"/>
            <a:gd name="connsiteX5" fmla="*/ 160360 w 951213"/>
            <a:gd name="connsiteY5" fmla="*/ 0 h 839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951213" h="83902">
              <a:moveTo>
                <a:pt x="160360" y="0"/>
              </a:moveTo>
              <a:lnTo>
                <a:pt x="951213" y="2302"/>
              </a:lnTo>
              <a:lnTo>
                <a:pt x="782632" y="82702"/>
              </a:lnTo>
              <a:cubicBezTo>
                <a:pt x="634740" y="80525"/>
                <a:pt x="504541" y="85516"/>
                <a:pt x="356649" y="83339"/>
              </a:cubicBezTo>
              <a:lnTo>
                <a:pt x="0" y="80637"/>
              </a:lnTo>
              <a:lnTo>
                <a:pt x="160360" y="0"/>
              </a:lnTo>
              <a:close/>
            </a:path>
          </a:pathLst>
        </a:cu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0</xdr:col>
      <xdr:colOff>602838</xdr:colOff>
      <xdr:row>22</xdr:row>
      <xdr:rowOff>117749</xdr:rowOff>
    </xdr:from>
    <xdr:to>
      <xdr:col>2</xdr:col>
      <xdr:colOff>401062</xdr:colOff>
      <xdr:row>23</xdr:row>
      <xdr:rowOff>58243</xdr:rowOff>
    </xdr:to>
    <xdr:sp macro="" textlink="">
      <xdr:nvSpPr>
        <xdr:cNvPr id="54" name="Прямоугольник 36">
          <a:extLst>
            <a:ext uri="{FF2B5EF4-FFF2-40B4-BE49-F238E27FC236}">
              <a16:creationId xmlns:a16="http://schemas.microsoft.com/office/drawing/2014/main" id="{F50D53BF-A583-4511-AC29-CDB240365B64}"/>
            </a:ext>
          </a:extLst>
        </xdr:cNvPr>
        <xdr:cNvSpPr/>
      </xdr:nvSpPr>
      <xdr:spPr>
        <a:xfrm rot="1060094">
          <a:off x="602838" y="4661174"/>
          <a:ext cx="1017424" cy="130994"/>
        </a:xfrm>
        <a:custGeom>
          <a:avLst/>
          <a:gdLst>
            <a:gd name="connsiteX0" fmla="*/ 0 w 1012649"/>
            <a:gd name="connsiteY0" fmla="*/ 0 h 224442"/>
            <a:gd name="connsiteX1" fmla="*/ 1012649 w 1012649"/>
            <a:gd name="connsiteY1" fmla="*/ 0 h 224442"/>
            <a:gd name="connsiteX2" fmla="*/ 1012649 w 1012649"/>
            <a:gd name="connsiteY2" fmla="*/ 224442 h 224442"/>
            <a:gd name="connsiteX3" fmla="*/ 0 w 1012649"/>
            <a:gd name="connsiteY3" fmla="*/ 224442 h 224442"/>
            <a:gd name="connsiteX4" fmla="*/ 0 w 1012649"/>
            <a:gd name="connsiteY4" fmla="*/ 0 h 224442"/>
            <a:gd name="connsiteX0" fmla="*/ 0 w 1012649"/>
            <a:gd name="connsiteY0" fmla="*/ 0 h 245829"/>
            <a:gd name="connsiteX1" fmla="*/ 1012649 w 1012649"/>
            <a:gd name="connsiteY1" fmla="*/ 0 h 245829"/>
            <a:gd name="connsiteX2" fmla="*/ 1012649 w 1012649"/>
            <a:gd name="connsiteY2" fmla="*/ 224442 h 245829"/>
            <a:gd name="connsiteX3" fmla="*/ 136091 w 1012649"/>
            <a:gd name="connsiteY3" fmla="*/ 245829 h 245829"/>
            <a:gd name="connsiteX4" fmla="*/ 0 w 1012649"/>
            <a:gd name="connsiteY4" fmla="*/ 0 h 245829"/>
            <a:gd name="connsiteX0" fmla="*/ 0 w 1192768"/>
            <a:gd name="connsiteY0" fmla="*/ 0 h 245829"/>
            <a:gd name="connsiteX1" fmla="*/ 1192768 w 1192768"/>
            <a:gd name="connsiteY1" fmla="*/ 33407 h 245829"/>
            <a:gd name="connsiteX2" fmla="*/ 1012649 w 1192768"/>
            <a:gd name="connsiteY2" fmla="*/ 224442 h 245829"/>
            <a:gd name="connsiteX3" fmla="*/ 136091 w 1192768"/>
            <a:gd name="connsiteY3" fmla="*/ 245829 h 245829"/>
            <a:gd name="connsiteX4" fmla="*/ 0 w 1192768"/>
            <a:gd name="connsiteY4" fmla="*/ 0 h 245829"/>
            <a:gd name="connsiteX0" fmla="*/ 75795 w 1056677"/>
            <a:gd name="connsiteY0" fmla="*/ 0 h 247905"/>
            <a:gd name="connsiteX1" fmla="*/ 1056677 w 1056677"/>
            <a:gd name="connsiteY1" fmla="*/ 35483 h 247905"/>
            <a:gd name="connsiteX2" fmla="*/ 876558 w 1056677"/>
            <a:gd name="connsiteY2" fmla="*/ 226518 h 247905"/>
            <a:gd name="connsiteX3" fmla="*/ 0 w 1056677"/>
            <a:gd name="connsiteY3" fmla="*/ 247905 h 247905"/>
            <a:gd name="connsiteX4" fmla="*/ 75795 w 1056677"/>
            <a:gd name="connsiteY4" fmla="*/ 0 h 247905"/>
            <a:gd name="connsiteX0" fmla="*/ 196679 w 1056677"/>
            <a:gd name="connsiteY0" fmla="*/ 0 h 240132"/>
            <a:gd name="connsiteX1" fmla="*/ 1056677 w 1056677"/>
            <a:gd name="connsiteY1" fmla="*/ 27710 h 240132"/>
            <a:gd name="connsiteX2" fmla="*/ 876558 w 1056677"/>
            <a:gd name="connsiteY2" fmla="*/ 218745 h 240132"/>
            <a:gd name="connsiteX3" fmla="*/ 0 w 1056677"/>
            <a:gd name="connsiteY3" fmla="*/ 240132 h 240132"/>
            <a:gd name="connsiteX4" fmla="*/ 196679 w 1056677"/>
            <a:gd name="connsiteY4" fmla="*/ 0 h 240132"/>
            <a:gd name="connsiteX0" fmla="*/ 57642 w 1056677"/>
            <a:gd name="connsiteY0" fmla="*/ 0 h 227628"/>
            <a:gd name="connsiteX1" fmla="*/ 1056677 w 1056677"/>
            <a:gd name="connsiteY1" fmla="*/ 15206 h 227628"/>
            <a:gd name="connsiteX2" fmla="*/ 876558 w 1056677"/>
            <a:gd name="connsiteY2" fmla="*/ 206241 h 227628"/>
            <a:gd name="connsiteX3" fmla="*/ 0 w 1056677"/>
            <a:gd name="connsiteY3" fmla="*/ 227628 h 227628"/>
            <a:gd name="connsiteX4" fmla="*/ 57642 w 1056677"/>
            <a:gd name="connsiteY4" fmla="*/ 0 h 227628"/>
            <a:gd name="connsiteX0" fmla="*/ 57642 w 881337"/>
            <a:gd name="connsiteY0" fmla="*/ 0 h 227628"/>
            <a:gd name="connsiteX1" fmla="*/ 881337 w 881337"/>
            <a:gd name="connsiteY1" fmla="*/ 68262 h 227628"/>
            <a:gd name="connsiteX2" fmla="*/ 876558 w 881337"/>
            <a:gd name="connsiteY2" fmla="*/ 206241 h 227628"/>
            <a:gd name="connsiteX3" fmla="*/ 0 w 881337"/>
            <a:gd name="connsiteY3" fmla="*/ 227628 h 227628"/>
            <a:gd name="connsiteX4" fmla="*/ 57642 w 881337"/>
            <a:gd name="connsiteY4" fmla="*/ 0 h 227628"/>
            <a:gd name="connsiteX0" fmla="*/ 32538 w 881337"/>
            <a:gd name="connsiteY0" fmla="*/ 581 h 159366"/>
            <a:gd name="connsiteX1" fmla="*/ 881337 w 881337"/>
            <a:gd name="connsiteY1" fmla="*/ 0 h 159366"/>
            <a:gd name="connsiteX2" fmla="*/ 876558 w 881337"/>
            <a:gd name="connsiteY2" fmla="*/ 137979 h 159366"/>
            <a:gd name="connsiteX3" fmla="*/ 0 w 881337"/>
            <a:gd name="connsiteY3" fmla="*/ 159366 h 159366"/>
            <a:gd name="connsiteX4" fmla="*/ 32538 w 881337"/>
            <a:gd name="connsiteY4" fmla="*/ 581 h 159366"/>
            <a:gd name="connsiteX0" fmla="*/ 200911 w 1049710"/>
            <a:gd name="connsiteY0" fmla="*/ 581 h 137979"/>
            <a:gd name="connsiteX1" fmla="*/ 1049710 w 1049710"/>
            <a:gd name="connsiteY1" fmla="*/ 0 h 137979"/>
            <a:gd name="connsiteX2" fmla="*/ 1044931 w 1049710"/>
            <a:gd name="connsiteY2" fmla="*/ 137979 h 137979"/>
            <a:gd name="connsiteX3" fmla="*/ 0 w 1049710"/>
            <a:gd name="connsiteY3" fmla="*/ 108723 h 137979"/>
            <a:gd name="connsiteX4" fmla="*/ 200911 w 1049710"/>
            <a:gd name="connsiteY4" fmla="*/ 581 h 137979"/>
            <a:gd name="connsiteX0" fmla="*/ 200911 w 1049710"/>
            <a:gd name="connsiteY0" fmla="*/ 581 h 121540"/>
            <a:gd name="connsiteX1" fmla="*/ 1049710 w 1049710"/>
            <a:gd name="connsiteY1" fmla="*/ 0 h 121540"/>
            <a:gd name="connsiteX2" fmla="*/ 809169 w 1049710"/>
            <a:gd name="connsiteY2" fmla="*/ 121540 h 121540"/>
            <a:gd name="connsiteX3" fmla="*/ 0 w 1049710"/>
            <a:gd name="connsiteY3" fmla="*/ 108723 h 121540"/>
            <a:gd name="connsiteX4" fmla="*/ 200911 w 1049710"/>
            <a:gd name="connsiteY4" fmla="*/ 581 h 121540"/>
            <a:gd name="connsiteX0" fmla="*/ 200911 w 991764"/>
            <a:gd name="connsiteY0" fmla="*/ 0 h 120959"/>
            <a:gd name="connsiteX1" fmla="*/ 991764 w 991764"/>
            <a:gd name="connsiteY1" fmla="*/ 2302 h 120959"/>
            <a:gd name="connsiteX2" fmla="*/ 809169 w 991764"/>
            <a:gd name="connsiteY2" fmla="*/ 120959 h 120959"/>
            <a:gd name="connsiteX3" fmla="*/ 0 w 991764"/>
            <a:gd name="connsiteY3" fmla="*/ 108142 h 120959"/>
            <a:gd name="connsiteX4" fmla="*/ 200911 w 991764"/>
            <a:gd name="connsiteY4" fmla="*/ 0 h 120959"/>
            <a:gd name="connsiteX0" fmla="*/ 200911 w 991764"/>
            <a:gd name="connsiteY0" fmla="*/ 0 h 108142"/>
            <a:gd name="connsiteX1" fmla="*/ 991764 w 991764"/>
            <a:gd name="connsiteY1" fmla="*/ 2302 h 108142"/>
            <a:gd name="connsiteX2" fmla="*/ 796050 w 991764"/>
            <a:gd name="connsiteY2" fmla="*/ 106856 h 108142"/>
            <a:gd name="connsiteX3" fmla="*/ 0 w 991764"/>
            <a:gd name="connsiteY3" fmla="*/ 108142 h 108142"/>
            <a:gd name="connsiteX4" fmla="*/ 200911 w 991764"/>
            <a:gd name="connsiteY4" fmla="*/ 0 h 108142"/>
            <a:gd name="connsiteX0" fmla="*/ 200911 w 991764"/>
            <a:gd name="connsiteY0" fmla="*/ 0 h 109611"/>
            <a:gd name="connsiteX1" fmla="*/ 991764 w 991764"/>
            <a:gd name="connsiteY1" fmla="*/ 2302 h 109611"/>
            <a:gd name="connsiteX2" fmla="*/ 796050 w 991764"/>
            <a:gd name="connsiteY2" fmla="*/ 106856 h 109611"/>
            <a:gd name="connsiteX3" fmla="*/ 363356 w 991764"/>
            <a:gd name="connsiteY3" fmla="*/ 109168 h 109611"/>
            <a:gd name="connsiteX4" fmla="*/ 0 w 991764"/>
            <a:gd name="connsiteY4" fmla="*/ 108142 h 109611"/>
            <a:gd name="connsiteX5" fmla="*/ 200911 w 991764"/>
            <a:gd name="connsiteY5" fmla="*/ 0 h 109611"/>
            <a:gd name="connsiteX0" fmla="*/ 160360 w 951213"/>
            <a:gd name="connsiteY0" fmla="*/ 0 h 109611"/>
            <a:gd name="connsiteX1" fmla="*/ 951213 w 951213"/>
            <a:gd name="connsiteY1" fmla="*/ 2302 h 109611"/>
            <a:gd name="connsiteX2" fmla="*/ 755499 w 951213"/>
            <a:gd name="connsiteY2" fmla="*/ 106856 h 109611"/>
            <a:gd name="connsiteX3" fmla="*/ 322805 w 951213"/>
            <a:gd name="connsiteY3" fmla="*/ 109168 h 109611"/>
            <a:gd name="connsiteX4" fmla="*/ 0 w 951213"/>
            <a:gd name="connsiteY4" fmla="*/ 80637 h 109611"/>
            <a:gd name="connsiteX5" fmla="*/ 160360 w 951213"/>
            <a:gd name="connsiteY5" fmla="*/ 0 h 109611"/>
            <a:gd name="connsiteX0" fmla="*/ 160360 w 951213"/>
            <a:gd name="connsiteY0" fmla="*/ 0 h 109278"/>
            <a:gd name="connsiteX1" fmla="*/ 951213 w 951213"/>
            <a:gd name="connsiteY1" fmla="*/ 2302 h 109278"/>
            <a:gd name="connsiteX2" fmla="*/ 782632 w 951213"/>
            <a:gd name="connsiteY2" fmla="*/ 82702 h 109278"/>
            <a:gd name="connsiteX3" fmla="*/ 322805 w 951213"/>
            <a:gd name="connsiteY3" fmla="*/ 109168 h 109278"/>
            <a:gd name="connsiteX4" fmla="*/ 0 w 951213"/>
            <a:gd name="connsiteY4" fmla="*/ 80637 h 109278"/>
            <a:gd name="connsiteX5" fmla="*/ 160360 w 951213"/>
            <a:gd name="connsiteY5" fmla="*/ 0 h 109278"/>
            <a:gd name="connsiteX0" fmla="*/ 160360 w 951213"/>
            <a:gd name="connsiteY0" fmla="*/ 0 h 83902"/>
            <a:gd name="connsiteX1" fmla="*/ 951213 w 951213"/>
            <a:gd name="connsiteY1" fmla="*/ 2302 h 83902"/>
            <a:gd name="connsiteX2" fmla="*/ 782632 w 951213"/>
            <a:gd name="connsiteY2" fmla="*/ 82702 h 83902"/>
            <a:gd name="connsiteX3" fmla="*/ 356649 w 951213"/>
            <a:gd name="connsiteY3" fmla="*/ 83339 h 83902"/>
            <a:gd name="connsiteX4" fmla="*/ 0 w 951213"/>
            <a:gd name="connsiteY4" fmla="*/ 80637 h 83902"/>
            <a:gd name="connsiteX5" fmla="*/ 160360 w 951213"/>
            <a:gd name="connsiteY5" fmla="*/ 0 h 839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951213" h="83902">
              <a:moveTo>
                <a:pt x="160360" y="0"/>
              </a:moveTo>
              <a:lnTo>
                <a:pt x="951213" y="2302"/>
              </a:lnTo>
              <a:lnTo>
                <a:pt x="782632" y="82702"/>
              </a:lnTo>
              <a:cubicBezTo>
                <a:pt x="634740" y="80525"/>
                <a:pt x="504541" y="85516"/>
                <a:pt x="356649" y="83339"/>
              </a:cubicBezTo>
              <a:lnTo>
                <a:pt x="0" y="80637"/>
              </a:lnTo>
              <a:lnTo>
                <a:pt x="160360" y="0"/>
              </a:lnTo>
              <a:close/>
            </a:path>
          </a:pathLst>
        </a:cu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8"/>
  <sheetViews>
    <sheetView tabSelected="1" topLeftCell="A19" zoomScale="120" zoomScaleNormal="120" workbookViewId="0">
      <selection activeCell="L16" sqref="L16"/>
    </sheetView>
  </sheetViews>
  <sheetFormatPr defaultRowHeight="14.4" x14ac:dyDescent="0.3"/>
  <cols>
    <col min="5" max="6" width="7.33203125" customWidth="1"/>
    <col min="7" max="7" width="9.5546875" customWidth="1"/>
    <col min="8" max="8" width="1.6640625" customWidth="1"/>
    <col min="9" max="9" width="8.109375" style="1" customWidth="1"/>
    <col min="10" max="10" width="9.109375" style="1" bestFit="1" customWidth="1"/>
    <col min="11" max="11" width="9.44140625" style="1" bestFit="1" customWidth="1"/>
    <col min="12" max="12" width="9.44140625" style="1" customWidth="1"/>
    <col min="13" max="13" width="5.6640625" style="13" customWidth="1"/>
  </cols>
  <sheetData>
    <row r="1" spans="1:13" ht="21.6" thickBot="1" x14ac:dyDescent="0.45">
      <c r="A1" s="78" t="s">
        <v>24</v>
      </c>
      <c r="B1" s="78"/>
      <c r="C1" s="52" t="s">
        <v>25</v>
      </c>
      <c r="D1" s="52"/>
      <c r="E1" s="6"/>
      <c r="F1" s="8"/>
      <c r="G1" s="15" t="s">
        <v>19</v>
      </c>
      <c r="H1" s="73">
        <f>ROUNDUP(J4*800/60*1.2,1)</f>
        <v>19.5</v>
      </c>
      <c r="I1" s="74"/>
      <c r="J1" s="45" t="s">
        <v>0</v>
      </c>
      <c r="K1" s="7" t="s">
        <v>1</v>
      </c>
      <c r="L1" s="7" t="s">
        <v>2</v>
      </c>
    </row>
    <row r="2" spans="1:13" ht="18" x14ac:dyDescent="0.35">
      <c r="B2" s="57"/>
      <c r="C2" s="57"/>
      <c r="E2" s="6"/>
      <c r="F2" s="6"/>
      <c r="H2" s="6"/>
      <c r="I2" s="15" t="s">
        <v>11</v>
      </c>
      <c r="J2" s="46">
        <v>2000</v>
      </c>
      <c r="K2" s="46">
        <v>2000</v>
      </c>
      <c r="L2" s="46">
        <v>2000</v>
      </c>
    </row>
    <row r="3" spans="1:13" ht="18" x14ac:dyDescent="0.35">
      <c r="E3" s="6"/>
      <c r="F3" s="6"/>
      <c r="H3" s="6"/>
      <c r="I3" s="15" t="s">
        <v>3</v>
      </c>
      <c r="J3" s="33">
        <f>J2+J6+J6+J8+J8</f>
        <v>2130</v>
      </c>
      <c r="K3" s="33">
        <f>K2+50+J6+J6</f>
        <v>2130</v>
      </c>
      <c r="L3" s="33">
        <f>L2+I11+I12+J7+I22+I21</f>
        <v>2265</v>
      </c>
    </row>
    <row r="4" spans="1:13" ht="18" x14ac:dyDescent="0.35">
      <c r="B4" s="1"/>
      <c r="E4" s="6"/>
      <c r="F4" s="6"/>
      <c r="G4" s="6"/>
      <c r="H4" s="8"/>
      <c r="I4" s="15" t="s">
        <v>15</v>
      </c>
      <c r="J4" s="14">
        <f>SUM(M10:M47)+SUM(M29:M47)</f>
        <v>1.2144195743981485</v>
      </c>
      <c r="K4" s="58" t="s">
        <v>16</v>
      </c>
      <c r="L4" s="59"/>
    </row>
    <row r="5" spans="1:13" ht="18" x14ac:dyDescent="0.35">
      <c r="B5" s="1"/>
      <c r="E5" s="6"/>
      <c r="F5" s="6"/>
      <c r="G5" s="6"/>
      <c r="H5" s="8"/>
      <c r="I5" s="2" t="s">
        <v>22</v>
      </c>
      <c r="J5" s="47">
        <v>50</v>
      </c>
      <c r="K5" s="60"/>
      <c r="L5" s="61"/>
    </row>
    <row r="6" spans="1:13" ht="18" x14ac:dyDescent="0.35">
      <c r="B6" s="1"/>
      <c r="E6" s="6"/>
      <c r="F6" s="6"/>
      <c r="G6" s="6"/>
      <c r="H6" s="8"/>
      <c r="I6" s="15" t="s">
        <v>21</v>
      </c>
      <c r="J6" s="47">
        <v>40</v>
      </c>
      <c r="K6" s="9"/>
    </row>
    <row r="7" spans="1:13" ht="18" x14ac:dyDescent="0.35">
      <c r="B7" s="1"/>
      <c r="E7" s="6"/>
      <c r="F7" s="6"/>
      <c r="G7" s="6"/>
      <c r="H7" s="8"/>
      <c r="I7" s="15" t="s">
        <v>20</v>
      </c>
      <c r="J7" s="47">
        <v>25</v>
      </c>
      <c r="K7" s="9"/>
    </row>
    <row r="8" spans="1:13" ht="18.600000000000001" thickBot="1" x14ac:dyDescent="0.4">
      <c r="A8" s="23"/>
      <c r="B8" s="24"/>
      <c r="C8" s="23"/>
      <c r="D8" s="23"/>
      <c r="E8" s="23"/>
      <c r="F8" s="29"/>
      <c r="G8" s="29"/>
      <c r="H8" s="30"/>
      <c r="I8" s="43" t="s">
        <v>26</v>
      </c>
      <c r="J8" s="53">
        <v>25</v>
      </c>
      <c r="K8" s="24"/>
      <c r="L8" s="24"/>
    </row>
    <row r="9" spans="1:13" ht="15.6" x14ac:dyDescent="0.3">
      <c r="A9" s="28" t="s">
        <v>9</v>
      </c>
      <c r="B9" s="11"/>
      <c r="E9" s="35">
        <f>J6</f>
        <v>40</v>
      </c>
      <c r="I9" s="64" t="s">
        <v>4</v>
      </c>
      <c r="J9" s="64"/>
      <c r="K9" s="64"/>
      <c r="L9" s="5"/>
    </row>
    <row r="10" spans="1:13" x14ac:dyDescent="0.3">
      <c r="I10" s="4" t="s">
        <v>5</v>
      </c>
      <c r="J10" s="4" t="s">
        <v>6</v>
      </c>
      <c r="K10" s="4" t="s">
        <v>7</v>
      </c>
      <c r="L10" s="4" t="s">
        <v>8</v>
      </c>
    </row>
    <row r="11" spans="1:13" x14ac:dyDescent="0.3">
      <c r="G11" s="68" t="s">
        <v>23</v>
      </c>
      <c r="H11" s="69"/>
      <c r="I11" s="16">
        <v>150</v>
      </c>
      <c r="J11" s="16">
        <v>150</v>
      </c>
      <c r="K11" s="18">
        <f>J2+J6+J6+J8+J8</f>
        <v>2130</v>
      </c>
      <c r="L11" s="16">
        <v>4</v>
      </c>
      <c r="M11" s="13">
        <f t="shared" ref="M11:M13" si="0">((I11*J11*K11)/1000000000)*L11</f>
        <v>0.19170000000000001</v>
      </c>
    </row>
    <row r="12" spans="1:13" x14ac:dyDescent="0.3">
      <c r="G12" s="56" t="s">
        <v>18</v>
      </c>
      <c r="H12" s="67"/>
      <c r="I12" s="16">
        <v>40</v>
      </c>
      <c r="J12" s="3">
        <f>J11</f>
        <v>150</v>
      </c>
      <c r="K12" s="32">
        <f>K11/6*4</f>
        <v>1420</v>
      </c>
      <c r="L12" s="3">
        <f>L11</f>
        <v>4</v>
      </c>
      <c r="M12" s="13">
        <f t="shared" si="0"/>
        <v>3.4079999999999999E-2</v>
      </c>
    </row>
    <row r="13" spans="1:13" x14ac:dyDescent="0.3">
      <c r="G13" s="65"/>
      <c r="H13" s="66"/>
      <c r="I13" s="3">
        <v>100</v>
      </c>
      <c r="J13" s="3">
        <v>100</v>
      </c>
      <c r="K13" s="18">
        <f>K2</f>
        <v>2000</v>
      </c>
      <c r="L13" s="3">
        <v>2</v>
      </c>
      <c r="M13" s="13">
        <f t="shared" si="0"/>
        <v>0.04</v>
      </c>
    </row>
    <row r="14" spans="1:13" x14ac:dyDescent="0.3">
      <c r="A14" s="34">
        <f>J8+J6</f>
        <v>65</v>
      </c>
      <c r="F14" s="10">
        <f>J2</f>
        <v>2000</v>
      </c>
      <c r="G14" s="56"/>
      <c r="H14" s="56"/>
      <c r="I14" s="19">
        <f>J7</f>
        <v>25</v>
      </c>
      <c r="J14" s="20">
        <v>100</v>
      </c>
      <c r="K14" s="19">
        <f>K2</f>
        <v>2000</v>
      </c>
      <c r="L14" s="20">
        <f>ROUNDUP((J2-I13-I13)/J14,0)</f>
        <v>18</v>
      </c>
      <c r="M14" s="13">
        <f>((I14*J14*K14)/1000000000)*L14</f>
        <v>0.09</v>
      </c>
    </row>
    <row r="16" spans="1:13" x14ac:dyDescent="0.3">
      <c r="A16" s="38">
        <f>K2+J6+J6</f>
        <v>2080</v>
      </c>
      <c r="B16" s="1"/>
    </row>
    <row r="17" spans="1:13" ht="8.25" customHeight="1" thickBot="1" x14ac:dyDescent="0.35">
      <c r="A17" s="23"/>
      <c r="B17" s="24"/>
      <c r="C17" s="23"/>
      <c r="D17" s="23"/>
      <c r="E17" s="23"/>
      <c r="F17" s="23"/>
      <c r="G17" s="23"/>
      <c r="H17" s="23"/>
      <c r="I17" s="25"/>
      <c r="J17" s="23"/>
      <c r="K17" s="23"/>
      <c r="L17" s="23"/>
      <c r="M17"/>
    </row>
    <row r="19" spans="1:13" ht="15" customHeight="1" x14ac:dyDescent="0.3">
      <c r="A19" s="44" t="s">
        <v>10</v>
      </c>
      <c r="B19" s="38">
        <f>J8+2</f>
        <v>27</v>
      </c>
      <c r="D19" s="76"/>
      <c r="I19" s="70" t="s">
        <v>4</v>
      </c>
      <c r="J19" s="70"/>
      <c r="K19" s="70"/>
      <c r="L19" s="5"/>
    </row>
    <row r="20" spans="1:13" ht="15" customHeight="1" x14ac:dyDescent="0.3">
      <c r="D20" s="77"/>
      <c r="F20" s="38">
        <f>K22</f>
        <v>2130</v>
      </c>
      <c r="I20" s="4" t="s">
        <v>5</v>
      </c>
      <c r="J20" s="4" t="s">
        <v>6</v>
      </c>
      <c r="K20" s="4" t="s">
        <v>7</v>
      </c>
      <c r="L20" s="4" t="s">
        <v>8</v>
      </c>
    </row>
    <row r="21" spans="1:13" x14ac:dyDescent="0.3">
      <c r="F21" s="38"/>
      <c r="I21" s="31">
        <f>J8</f>
        <v>25</v>
      </c>
      <c r="J21" s="4">
        <v>100</v>
      </c>
      <c r="K21" s="31">
        <f>J2+J6+J6-5</f>
        <v>2075</v>
      </c>
      <c r="L21" s="21" t="str">
        <f>IF(K22&gt;1200,"3","2")</f>
        <v>3</v>
      </c>
      <c r="M21" s="13">
        <f>((I21*J21*K21)/1000000000)*L21</f>
        <v>1.55625E-2</v>
      </c>
    </row>
    <row r="22" spans="1:13" x14ac:dyDescent="0.3">
      <c r="A22" s="51"/>
      <c r="I22" s="18">
        <f>J8</f>
        <v>25</v>
      </c>
      <c r="J22" s="3">
        <v>100</v>
      </c>
      <c r="K22" s="18">
        <f>K2+J8+J8+J6+J6</f>
        <v>2130</v>
      </c>
      <c r="L22" s="3">
        <f>ROUNDUP(J3/J22,0)</f>
        <v>22</v>
      </c>
      <c r="M22" s="13">
        <f>((I22*J22*K22)/1000000000)*L22</f>
        <v>0.11715</v>
      </c>
    </row>
    <row r="23" spans="1:13" x14ac:dyDescent="0.3">
      <c r="A23" s="50"/>
      <c r="H23" s="2"/>
      <c r="I23" s="18">
        <f>J5</f>
        <v>50</v>
      </c>
      <c r="J23" s="18">
        <v>100</v>
      </c>
      <c r="K23" s="18">
        <f>K2-5</f>
        <v>1995</v>
      </c>
      <c r="L23" s="21" t="str">
        <f>IF(K21&gt;4000,"5",IF(K21&gt;3000,"4",IF(K21&gt;2000,"3","2")))</f>
        <v>3</v>
      </c>
      <c r="M23" s="13">
        <f>((I23*J23*K23)/1000000000)*L23</f>
        <v>2.9925E-2</v>
      </c>
    </row>
    <row r="24" spans="1:13" x14ac:dyDescent="0.3">
      <c r="A24" s="50"/>
    </row>
    <row r="25" spans="1:13" x14ac:dyDescent="0.3">
      <c r="A25" s="50"/>
      <c r="F25" s="34"/>
      <c r="G25" s="54">
        <v>450</v>
      </c>
    </row>
    <row r="26" spans="1:13" x14ac:dyDescent="0.3">
      <c r="A26" s="34"/>
      <c r="C26" s="1"/>
      <c r="E26" s="38">
        <f>J3</f>
        <v>2130</v>
      </c>
      <c r="F26" s="10"/>
    </row>
    <row r="27" spans="1:13" ht="15" thickBot="1" x14ac:dyDescent="0.35">
      <c r="A27" s="24"/>
      <c r="B27" s="23"/>
      <c r="C27" s="24"/>
      <c r="D27" s="23"/>
      <c r="E27" s="23"/>
      <c r="F27" s="26"/>
      <c r="G27" s="23"/>
      <c r="H27" s="23"/>
      <c r="I27" s="24"/>
      <c r="J27" s="24"/>
      <c r="K27" s="24"/>
      <c r="L27" s="24"/>
    </row>
    <row r="28" spans="1:13" ht="9" customHeight="1" x14ac:dyDescent="0.3"/>
    <row r="29" spans="1:13" ht="18" x14ac:dyDescent="0.35">
      <c r="A29" s="12" t="s">
        <v>14</v>
      </c>
      <c r="B29" s="40"/>
      <c r="C29" s="22" t="s">
        <v>12</v>
      </c>
      <c r="E29" s="10"/>
      <c r="F29" s="41">
        <f>J6</f>
        <v>40</v>
      </c>
      <c r="I29" s="64" t="s">
        <v>4</v>
      </c>
      <c r="J29" s="64"/>
      <c r="K29" s="64"/>
      <c r="L29" s="5"/>
    </row>
    <row r="30" spans="1:13" x14ac:dyDescent="0.3">
      <c r="F30" s="10"/>
      <c r="G30" s="10"/>
      <c r="I30" s="4" t="s">
        <v>5</v>
      </c>
      <c r="J30" s="4" t="s">
        <v>6</v>
      </c>
      <c r="K30" s="4" t="s">
        <v>7</v>
      </c>
      <c r="L30" s="4" t="s">
        <v>8</v>
      </c>
    </row>
    <row r="31" spans="1:13" ht="15" customHeight="1" x14ac:dyDescent="0.3">
      <c r="A31" s="71">
        <f>L2+J7</f>
        <v>2025</v>
      </c>
      <c r="F31" s="1">
        <v>25</v>
      </c>
      <c r="I31" s="31">
        <f>J6</f>
        <v>40</v>
      </c>
      <c r="J31" s="4">
        <v>100</v>
      </c>
      <c r="K31" s="31">
        <f>J2</f>
        <v>2000</v>
      </c>
      <c r="L31" s="4">
        <v>2</v>
      </c>
      <c r="M31" s="13">
        <f>((I31*J31*K31)/1000000000)*L31</f>
        <v>1.6E-2</v>
      </c>
    </row>
    <row r="32" spans="1:13" x14ac:dyDescent="0.3">
      <c r="A32" s="72"/>
      <c r="F32" s="42"/>
      <c r="I32" s="18">
        <f>J6</f>
        <v>40</v>
      </c>
      <c r="J32" s="3">
        <v>100</v>
      </c>
      <c r="K32" s="18">
        <f>A31-J31-J31</f>
        <v>1825</v>
      </c>
      <c r="L32" s="48" t="str">
        <f>IF(K31&gt;5000,"7",IF(K31&gt;4000,"6",IF(K31&gt;3000,"5",IF(K31&gt;2000,"4",IF(K31&gt;1000,"3","2")))))</f>
        <v>3</v>
      </c>
      <c r="M32" s="13">
        <f t="shared" ref="M32:M34" si="1">((I32*J32*K32)/1000000000)*L32</f>
        <v>2.1899999999999999E-2</v>
      </c>
    </row>
    <row r="33" spans="1:13" x14ac:dyDescent="0.3">
      <c r="A33" s="72"/>
      <c r="F33" s="49">
        <f>(K31-(J32*L32))/L33</f>
        <v>850</v>
      </c>
      <c r="G33" s="62" t="s">
        <v>17</v>
      </c>
      <c r="H33" s="63"/>
      <c r="I33" s="18">
        <f>J6</f>
        <v>40</v>
      </c>
      <c r="J33" s="3">
        <v>100</v>
      </c>
      <c r="K33" s="32">
        <f>(SQRT((F33*F33)+(K32*K32)))+100</f>
        <v>2113.237442528824</v>
      </c>
      <c r="L33" s="3">
        <f>L32-1</f>
        <v>2</v>
      </c>
      <c r="M33" s="13">
        <f t="shared" si="1"/>
        <v>1.6905899540230591E-2</v>
      </c>
    </row>
    <row r="34" spans="1:13" x14ac:dyDescent="0.3">
      <c r="A34" s="39"/>
      <c r="F34" s="17"/>
      <c r="G34" s="10"/>
      <c r="I34" s="18">
        <f>J8</f>
        <v>25</v>
      </c>
      <c r="J34" s="18">
        <f>J33</f>
        <v>100</v>
      </c>
      <c r="K34" s="18">
        <f>A31+F31+F35</f>
        <v>2100</v>
      </c>
      <c r="L34" s="3">
        <f>ROUNDUP((J2+J6+J6)/J34,0)</f>
        <v>21</v>
      </c>
      <c r="M34" s="13">
        <f t="shared" si="1"/>
        <v>0.11025</v>
      </c>
    </row>
    <row r="35" spans="1:13" x14ac:dyDescent="0.3">
      <c r="A35" s="39"/>
      <c r="F35" s="1">
        <v>50</v>
      </c>
      <c r="I35" s="10"/>
    </row>
    <row r="36" spans="1:13" ht="15" thickBot="1" x14ac:dyDescent="0.35">
      <c r="A36" s="24"/>
      <c r="B36" s="75">
        <f>K31</f>
        <v>2000</v>
      </c>
      <c r="C36" s="75"/>
      <c r="D36" s="75"/>
      <c r="E36" s="23"/>
      <c r="F36" s="23"/>
      <c r="G36" s="23"/>
      <c r="H36" s="23"/>
      <c r="I36" s="24"/>
      <c r="J36" s="24"/>
      <c r="K36" s="24"/>
      <c r="L36" s="24"/>
    </row>
    <row r="37" spans="1:13" ht="10.5" customHeight="1" x14ac:dyDescent="0.3">
      <c r="A37" s="1"/>
      <c r="C37" s="1"/>
      <c r="F37" s="10"/>
    </row>
    <row r="38" spans="1:13" ht="18" x14ac:dyDescent="0.35">
      <c r="A38" s="12" t="s">
        <v>13</v>
      </c>
      <c r="B38" s="40"/>
      <c r="C38" s="22" t="s">
        <v>12</v>
      </c>
      <c r="F38" s="10"/>
      <c r="I38" s="64" t="s">
        <v>4</v>
      </c>
      <c r="J38" s="64"/>
      <c r="K38" s="64"/>
      <c r="L38" s="5"/>
    </row>
    <row r="39" spans="1:13" x14ac:dyDescent="0.3">
      <c r="D39" s="34">
        <f>J8</f>
        <v>25</v>
      </c>
      <c r="F39">
        <v>25</v>
      </c>
      <c r="I39" s="4" t="s">
        <v>5</v>
      </c>
      <c r="J39" s="4" t="s">
        <v>6</v>
      </c>
      <c r="K39" s="4" t="s">
        <v>7</v>
      </c>
      <c r="L39" s="4" t="s">
        <v>8</v>
      </c>
    </row>
    <row r="40" spans="1:13" x14ac:dyDescent="0.3">
      <c r="I40" s="31">
        <f>J6</f>
        <v>40</v>
      </c>
      <c r="J40" s="4">
        <v>100</v>
      </c>
      <c r="K40" s="31">
        <f>K2+J6+J6</f>
        <v>2080</v>
      </c>
      <c r="L40" s="4">
        <v>2</v>
      </c>
      <c r="M40" s="13">
        <f>((I40*J40*K40)/1000000000)*L40</f>
        <v>1.6639999999999999E-2</v>
      </c>
    </row>
    <row r="41" spans="1:13" ht="15" customHeight="1" x14ac:dyDescent="0.3">
      <c r="E41" s="55"/>
      <c r="F41" s="17"/>
      <c r="I41" s="18">
        <f>J6</f>
        <v>40</v>
      </c>
      <c r="J41" s="3">
        <v>100</v>
      </c>
      <c r="K41" s="18">
        <f>F44-J40-J40</f>
        <v>1825</v>
      </c>
      <c r="L41" s="3" t="str">
        <f>IF(K40&gt;1700,"4",IF(K40&gt;1000,"3","2"))</f>
        <v>4</v>
      </c>
      <c r="M41" s="13">
        <f t="shared" ref="M41:M43" si="2">((I41*J41*K41)/1000000000)*L41</f>
        <v>2.92E-2</v>
      </c>
    </row>
    <row r="42" spans="1:13" x14ac:dyDescent="0.3">
      <c r="E42" s="55"/>
      <c r="F42" s="49">
        <f>(K40-(J40*L40))/L42</f>
        <v>626.66666666666663</v>
      </c>
      <c r="G42" s="62" t="s">
        <v>17</v>
      </c>
      <c r="H42" s="63"/>
      <c r="I42" s="18">
        <f>J6</f>
        <v>40</v>
      </c>
      <c r="J42" s="3">
        <v>100</v>
      </c>
      <c r="K42" s="32">
        <f>SQRT((F42*F42)+(K41*K41))+100</f>
        <v>2029.5948049036385</v>
      </c>
      <c r="L42" s="3">
        <f>L41-1</f>
        <v>3</v>
      </c>
      <c r="M42" s="13">
        <f t="shared" si="2"/>
        <v>2.4355137658843663E-2</v>
      </c>
    </row>
    <row r="43" spans="1:13" x14ac:dyDescent="0.3">
      <c r="A43" s="2"/>
      <c r="E43" s="55"/>
      <c r="F43" s="17"/>
      <c r="I43" s="18">
        <f>J8</f>
        <v>25</v>
      </c>
      <c r="J43" s="18">
        <f>J42</f>
        <v>100</v>
      </c>
      <c r="K43" s="18">
        <f>F44+F39</f>
        <v>2050</v>
      </c>
      <c r="L43" s="3">
        <f>ROUNDUP((K2+J6+J6+50)/J43,0)</f>
        <v>22</v>
      </c>
      <c r="M43" s="13">
        <f t="shared" si="2"/>
        <v>0.11275</v>
      </c>
    </row>
    <row r="44" spans="1:13" x14ac:dyDescent="0.3">
      <c r="E44" s="55"/>
      <c r="F44" s="37">
        <f>A31</f>
        <v>2025</v>
      </c>
    </row>
    <row r="46" spans="1:13" ht="18.75" customHeight="1" x14ac:dyDescent="0.3">
      <c r="C46" s="36">
        <f>K40</f>
        <v>2080</v>
      </c>
      <c r="D46" s="11"/>
    </row>
    <row r="47" spans="1:13" ht="6" customHeight="1" thickBot="1" x14ac:dyDescent="0.35">
      <c r="A47" s="23"/>
      <c r="B47" s="23"/>
      <c r="C47" s="27"/>
      <c r="D47" s="27"/>
      <c r="E47" s="23"/>
      <c r="F47" s="23"/>
      <c r="G47" s="23"/>
      <c r="H47" s="23"/>
      <c r="I47" s="24"/>
      <c r="J47" s="24"/>
      <c r="K47" s="24"/>
      <c r="L47" s="24"/>
    </row>
    <row r="48" spans="1:13" x14ac:dyDescent="0.3">
      <c r="D48" s="10"/>
      <c r="E48" s="10"/>
      <c r="F48" s="10"/>
    </row>
  </sheetData>
  <mergeCells count="18">
    <mergeCell ref="A31:A33"/>
    <mergeCell ref="H1:I1"/>
    <mergeCell ref="B36:D36"/>
    <mergeCell ref="D19:D20"/>
    <mergeCell ref="A1:B1"/>
    <mergeCell ref="E41:E44"/>
    <mergeCell ref="G14:H14"/>
    <mergeCell ref="B2:C2"/>
    <mergeCell ref="K4:L5"/>
    <mergeCell ref="G33:H33"/>
    <mergeCell ref="G42:H42"/>
    <mergeCell ref="I29:K29"/>
    <mergeCell ref="I9:K9"/>
    <mergeCell ref="I38:K38"/>
    <mergeCell ref="G13:H13"/>
    <mergeCell ref="G12:H12"/>
    <mergeCell ref="G11:H11"/>
    <mergeCell ref="I19:K19"/>
  </mergeCells>
  <pageMargins left="0.25" right="0.25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женя</dc:creator>
  <cp:lastModifiedBy>Пользователь</cp:lastModifiedBy>
  <cp:lastPrinted>2022-08-15T09:05:42Z</cp:lastPrinted>
  <dcterms:created xsi:type="dcterms:W3CDTF">2017-07-13T08:25:51Z</dcterms:created>
  <dcterms:modified xsi:type="dcterms:W3CDTF">2026-09-01T04:37:44Z</dcterms:modified>
</cp:coreProperties>
</file>